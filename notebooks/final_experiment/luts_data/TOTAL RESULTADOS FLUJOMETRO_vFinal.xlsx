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metadata_preview" sheetId="1" r:id="rId1"/>
    <sheet name="features" sheetId="2" r:id="rId2"/>
    <sheet name="hypothesis_tests" sheetId="3" r:id="rId3"/>
  </sheets>
  <calcPr calcId="144525"/>
</workbook>
</file>

<file path=xl/sharedStrings.xml><?xml version="1.0" encoding="utf-8"?>
<sst xmlns="http://schemas.openxmlformats.org/spreadsheetml/2006/main" count="1878" uniqueCount="487">
  <si>
    <t>Diagnostico</t>
  </si>
  <si>
    <t>ID</t>
  </si>
  <si>
    <t>Fecha</t>
  </si>
  <si>
    <t>Sexo</t>
  </si>
  <si>
    <t>Edad</t>
  </si>
  <si>
    <t>Peso Inicial</t>
  </si>
  <si>
    <t>Peso Final</t>
  </si>
  <si>
    <t>Dif Peso</t>
  </si>
  <si>
    <t>TQmax</t>
  </si>
  <si>
    <t>Volumen</t>
  </si>
  <si>
    <t>Time</t>
  </si>
  <si>
    <t>Qmax</t>
  </si>
  <si>
    <t>Qavg</t>
  </si>
  <si>
    <t>Residuo</t>
  </si>
  <si>
    <t>IPSS</t>
  </si>
  <si>
    <t>IPSS.1</t>
  </si>
  <si>
    <t>IIEF</t>
  </si>
  <si>
    <t>UroSound</t>
  </si>
  <si>
    <t>UroFlow</t>
  </si>
  <si>
    <t>CI</t>
  </si>
  <si>
    <t>Comentarios</t>
  </si>
  <si>
    <t>__csv_path__</t>
  </si>
  <si>
    <t>PSA TOTAL</t>
  </si>
  <si>
    <t>INDICE PSA</t>
  </si>
  <si>
    <t>CREAT</t>
  </si>
  <si>
    <t>VOLUMEN PROSTATA</t>
  </si>
  <si>
    <t>TR</t>
  </si>
  <si>
    <t>SOSPECHA TACTO</t>
  </si>
  <si>
    <t>TTO ALFA BLOQ</t>
  </si>
  <si>
    <t>TO ANTI ACH</t>
  </si>
  <si>
    <t>TTO BETA 3</t>
  </si>
  <si>
    <t>TTO 5 ARI</t>
  </si>
  <si>
    <t>Label</t>
  </si>
  <si>
    <t>dd.mm.aa</t>
  </si>
  <si>
    <t>V/M</t>
  </si>
  <si>
    <t>años</t>
  </si>
  <si>
    <t>kg</t>
  </si>
  <si>
    <t>gr</t>
  </si>
  <si>
    <t>s</t>
  </si>
  <si>
    <t>ml</t>
  </si>
  <si>
    <t>ml/s</t>
  </si>
  <si>
    <t>Obj</t>
  </si>
  <si>
    <t>Subj</t>
  </si>
  <si>
    <t>DE</t>
  </si>
  <si>
    <t>WAV</t>
  </si>
  <si>
    <t>CSV</t>
  </si>
  <si>
    <t>DOC</t>
  </si>
  <si>
    <t>Notes</t>
  </si>
  <si>
    <t>CSV/CSV</t>
  </si>
  <si>
    <t>cc/gramos</t>
  </si>
  <si>
    <t>I-IV</t>
  </si>
  <si>
    <t>SI/NO</t>
  </si>
  <si>
    <t>P</t>
  </si>
  <si>
    <t>11.04.24</t>
  </si>
  <si>
    <t>V</t>
  </si>
  <si>
    <t>-</t>
  </si>
  <si>
    <t>156458.CSV</t>
  </si>
  <si>
    <t>SI</t>
  </si>
  <si>
    <t>CSV/156458.CSV</t>
  </si>
  <si>
    <t>X</t>
  </si>
  <si>
    <t>I</t>
  </si>
  <si>
    <t>NO</t>
  </si>
  <si>
    <t>02.05.24</t>
  </si>
  <si>
    <t>597967.CSV</t>
  </si>
  <si>
    <t>CSV/597967.CSV</t>
  </si>
  <si>
    <t>III</t>
  </si>
  <si>
    <t>10394.CSV</t>
  </si>
  <si>
    <t>CSV/10394.CSV</t>
  </si>
  <si>
    <t>II-III</t>
  </si>
  <si>
    <t>18736.CSV</t>
  </si>
  <si>
    <t>CSV/18736.CSV</t>
  </si>
  <si>
    <t>II</t>
  </si>
  <si>
    <t>496235.CSV</t>
  </si>
  <si>
    <t>CSV/496235.CSV</t>
  </si>
  <si>
    <t>148444.CSV</t>
  </si>
  <si>
    <t>CSV/148444.CSV</t>
  </si>
  <si>
    <t>09.05.24</t>
  </si>
  <si>
    <t>125259.WAV</t>
  </si>
  <si>
    <t>125259.CSV</t>
  </si>
  <si>
    <t>CSV/125259.CSV</t>
  </si>
  <si>
    <t>133627.WAV</t>
  </si>
  <si>
    <t>133627.CSV</t>
  </si>
  <si>
    <t>No dice ID historia al comienzo, pero no hay otro WAV</t>
  </si>
  <si>
    <t>CSV/133627.CSV</t>
  </si>
  <si>
    <t>16.05.24</t>
  </si>
  <si>
    <t>69783.WAV</t>
  </si>
  <si>
    <t>69783.CSV</t>
  </si>
  <si>
    <t>CSV/69783.CSV</t>
  </si>
  <si>
    <t>471014.WAV</t>
  </si>
  <si>
    <t>471014.CSV</t>
  </si>
  <si>
    <t>CSV/471014.CSV</t>
  </si>
  <si>
    <t>179682.WAV</t>
  </si>
  <si>
    <t>179682.CSV</t>
  </si>
  <si>
    <t>CSV/179682.CSV</t>
  </si>
  <si>
    <t>27167.WAV</t>
  </si>
  <si>
    <t>27167.CSV</t>
  </si>
  <si>
    <t>CSV/27167.CSV</t>
  </si>
  <si>
    <t>162830.WAV</t>
  </si>
  <si>
    <t>162830.CSV</t>
  </si>
  <si>
    <t>CSV/162830.CSV</t>
  </si>
  <si>
    <t>32554.WAV</t>
  </si>
  <si>
    <t>32554.CSV</t>
  </si>
  <si>
    <t>CSV/32554.CSV</t>
  </si>
  <si>
    <t>435298.WAV</t>
  </si>
  <si>
    <t>435298.CSV</t>
  </si>
  <si>
    <t>CSV/435298.CSV</t>
  </si>
  <si>
    <t>134409.WAV</t>
  </si>
  <si>
    <t>134409.CSV</t>
  </si>
  <si>
    <t>CSV/134409.CSV</t>
  </si>
  <si>
    <t>23.05.24</t>
  </si>
  <si>
    <t>350189.WAV</t>
  </si>
  <si>
    <t>350189.CSV</t>
  </si>
  <si>
    <t>CSV/350189.CSV</t>
  </si>
  <si>
    <t>275665.WAV</t>
  </si>
  <si>
    <t>275665.CSV</t>
  </si>
  <si>
    <t>CSV/275665.CSV</t>
  </si>
  <si>
    <t>no</t>
  </si>
  <si>
    <t>344730.WAV</t>
  </si>
  <si>
    <t>344730.CSV</t>
  </si>
  <si>
    <t>CSV/344730.CSV</t>
  </si>
  <si>
    <t>x</t>
  </si>
  <si>
    <t>493437.WAV</t>
  </si>
  <si>
    <t>493437.CSV</t>
  </si>
  <si>
    <t>CSV/493437.CSV</t>
  </si>
  <si>
    <t>288375.CSV</t>
  </si>
  <si>
    <t>CSV/288375.CSV</t>
  </si>
  <si>
    <t>238188.WAV</t>
  </si>
  <si>
    <t>238188.CSV</t>
  </si>
  <si>
    <t>CSV/238188.CSV</t>
  </si>
  <si>
    <t>20.06.24</t>
  </si>
  <si>
    <t>49853.WAV</t>
  </si>
  <si>
    <t>49853.CSV</t>
  </si>
  <si>
    <t>CSV/49853.CSV</t>
  </si>
  <si>
    <t>27.06.24</t>
  </si>
  <si>
    <t>234200.WAV</t>
  </si>
  <si>
    <t>234200.CSV</t>
  </si>
  <si>
    <t>CSV/234200.CSV</t>
  </si>
  <si>
    <t>61918.WAV</t>
  </si>
  <si>
    <t>61918.CSV</t>
  </si>
  <si>
    <t>CSV/61918.CSV</t>
  </si>
  <si>
    <t>475518.WAV</t>
  </si>
  <si>
    <t>475518.CSV</t>
  </si>
  <si>
    <t>CSV/475518.CSV</t>
  </si>
  <si>
    <t>469580.WAV</t>
  </si>
  <si>
    <t>469580.CSV</t>
  </si>
  <si>
    <t>CSV/469580.CSV</t>
  </si>
  <si>
    <t>91271.WAV</t>
  </si>
  <si>
    <t>91271.CSV</t>
  </si>
  <si>
    <t>hay dos .WAV</t>
  </si>
  <si>
    <t>CSV/91271.CSV</t>
  </si>
  <si>
    <t>299847.WAV</t>
  </si>
  <si>
    <t>299847.CSV</t>
  </si>
  <si>
    <t>hay tres .WAV</t>
  </si>
  <si>
    <t>CSV/299847.CSV</t>
  </si>
  <si>
    <t>IV</t>
  </si>
  <si>
    <t>171402.WAV</t>
  </si>
  <si>
    <t>171402.CSV</t>
  </si>
  <si>
    <t>CSV/171402.CSV</t>
  </si>
  <si>
    <t>02.07.24</t>
  </si>
  <si>
    <t>406336.CSV</t>
  </si>
  <si>
    <t>CSV/406336.CSV</t>
  </si>
  <si>
    <t xml:space="preserve"> NO</t>
  </si>
  <si>
    <t>164881.WAV</t>
  </si>
  <si>
    <t>164881.CSV</t>
  </si>
  <si>
    <t>CSV/164881.CSV</t>
  </si>
  <si>
    <t>I-II</t>
  </si>
  <si>
    <t>CSV/-</t>
  </si>
  <si>
    <t>230543.WAV</t>
  </si>
  <si>
    <t>230543.CSV</t>
  </si>
  <si>
    <t>CSV/230543.CSV</t>
  </si>
  <si>
    <t>376222.WAV</t>
  </si>
  <si>
    <t>376222.CSV</t>
  </si>
  <si>
    <t>CSV/376222.CSV</t>
  </si>
  <si>
    <t>0.6</t>
  </si>
  <si>
    <t>86301.WAV</t>
  </si>
  <si>
    <t>86301.CSV</t>
  </si>
  <si>
    <t>CSV/86301.CSV</t>
  </si>
  <si>
    <t>53669.WAV</t>
  </si>
  <si>
    <t>53699.CSV</t>
  </si>
  <si>
    <t>CSV/53699.CSV</t>
  </si>
  <si>
    <t>271428.WAV</t>
  </si>
  <si>
    <t>271428.CSV</t>
  </si>
  <si>
    <t>CSV/271428.CSV</t>
  </si>
  <si>
    <t>09.07.24</t>
  </si>
  <si>
    <t>641459.WAV</t>
  </si>
  <si>
    <t>641459.CSV</t>
  </si>
  <si>
    <t>CSV/641459.CSV</t>
  </si>
  <si>
    <t>226183.WAV</t>
  </si>
  <si>
    <t>226183.CSV</t>
  </si>
  <si>
    <t>Residuo muy alto?</t>
  </si>
  <si>
    <t>CSV/226183.CSV</t>
  </si>
  <si>
    <t>361617.WAV</t>
  </si>
  <si>
    <t>361617.CSV</t>
  </si>
  <si>
    <t>CSV/361617.CSV</t>
  </si>
  <si>
    <t>440793.WAV</t>
  </si>
  <si>
    <t>440793.CSV</t>
  </si>
  <si>
    <t>CSV/440793.CSV</t>
  </si>
  <si>
    <t>283440.WAV</t>
  </si>
  <si>
    <t>283440.CSV</t>
  </si>
  <si>
    <t>CSV/283440.CSV</t>
  </si>
  <si>
    <t>146793.WAV</t>
  </si>
  <si>
    <t>146793.CSV</t>
  </si>
  <si>
    <t>CSV/146793.CSV</t>
  </si>
  <si>
    <t>15.07.24</t>
  </si>
  <si>
    <t>364315.WAV</t>
  </si>
  <si>
    <t>364315.CSV</t>
  </si>
  <si>
    <t>CSV/364315.CSV</t>
  </si>
  <si>
    <t>2188.WAV</t>
  </si>
  <si>
    <t>2188.CSV</t>
  </si>
  <si>
    <t>CSV/2188.CSV</t>
  </si>
  <si>
    <t>1.03</t>
  </si>
  <si>
    <t>244986.WAV</t>
  </si>
  <si>
    <t>244986.CSV</t>
  </si>
  <si>
    <t>CSV/244986.CSV</t>
  </si>
  <si>
    <t>154636.WAV</t>
  </si>
  <si>
    <t>154636.CSV</t>
  </si>
  <si>
    <t>CSV/154636.CSV</t>
  </si>
  <si>
    <t>III-IV</t>
  </si>
  <si>
    <t>142262.WAV</t>
  </si>
  <si>
    <t>142262.CSV</t>
  </si>
  <si>
    <t>CSV/142262.CSV</t>
  </si>
  <si>
    <t>292741.WAV</t>
  </si>
  <si>
    <t>292741.CSV</t>
  </si>
  <si>
    <t>CSV/292741.CSV</t>
  </si>
  <si>
    <t>523064.WAV</t>
  </si>
  <si>
    <t>523064.CSV</t>
  </si>
  <si>
    <t>CSV/523064.CSV</t>
  </si>
  <si>
    <t>26.08.24</t>
  </si>
  <si>
    <t>490584.WAV</t>
  </si>
  <si>
    <t>490584.CSV</t>
  </si>
  <si>
    <t>CSV/490584.CSV</t>
  </si>
  <si>
    <t>273272.WAV</t>
  </si>
  <si>
    <t>273273.CSV</t>
  </si>
  <si>
    <t>CSV/273273.CSV</t>
  </si>
  <si>
    <t>128979.WAV</t>
  </si>
  <si>
    <t>128979.CSV</t>
  </si>
  <si>
    <t>CSV/128979.CSV</t>
  </si>
  <si>
    <t>413117.WAV</t>
  </si>
  <si>
    <t>413117.CSV</t>
  </si>
  <si>
    <t>CSV/413117.CSV</t>
  </si>
  <si>
    <t>611306.WAV</t>
  </si>
  <si>
    <t>611306.CSV</t>
  </si>
  <si>
    <t>CSV/611306.CSV</t>
  </si>
  <si>
    <t>79393.WAV</t>
  </si>
  <si>
    <t>79393.CSV</t>
  </si>
  <si>
    <t>CSV/79393.CSV</t>
  </si>
  <si>
    <t xml:space="preserve">I-II </t>
  </si>
  <si>
    <t>507991.WAV</t>
  </si>
  <si>
    <t>507991.CSV</t>
  </si>
  <si>
    <t>CSV/507991.CSV</t>
  </si>
  <si>
    <t xml:space="preserve">45.6 </t>
  </si>
  <si>
    <t>11.12.24</t>
  </si>
  <si>
    <t>544175.WAV</t>
  </si>
  <si>
    <t>544175.CSV</t>
  </si>
  <si>
    <t>Pendientes de recortar los WAV desde aquí</t>
  </si>
  <si>
    <t>CSV/544175.CSV</t>
  </si>
  <si>
    <t>210029.WAV</t>
  </si>
  <si>
    <t>210029.CSV</t>
  </si>
  <si>
    <t>CSV/210029.CSV</t>
  </si>
  <si>
    <t>179850.WAV</t>
  </si>
  <si>
    <t>179850.CSV</t>
  </si>
  <si>
    <t>CSV/179850.CSV</t>
  </si>
  <si>
    <t>382719.WAV</t>
  </si>
  <si>
    <t>382719.CSV</t>
  </si>
  <si>
    <t>CSV/382719.CSV</t>
  </si>
  <si>
    <t>672946.WAV</t>
  </si>
  <si>
    <t>672946.CSV</t>
  </si>
  <si>
    <t>CSV/672946.CSV</t>
  </si>
  <si>
    <t>179178.WAV</t>
  </si>
  <si>
    <t>179178.CSV</t>
  </si>
  <si>
    <t>CSV/179178.CSV</t>
  </si>
  <si>
    <t>19.12.24</t>
  </si>
  <si>
    <t>247555.WAV</t>
  </si>
  <si>
    <t>247555.CSV</t>
  </si>
  <si>
    <t>CSV/247555.CSV</t>
  </si>
  <si>
    <t>333353.WAV</t>
  </si>
  <si>
    <t>333353.CSV</t>
  </si>
  <si>
    <t>CSV/333353.CSV</t>
  </si>
  <si>
    <t>302787.WAV</t>
  </si>
  <si>
    <t>302787.CSV</t>
  </si>
  <si>
    <t>CSV/302787.CSV</t>
  </si>
  <si>
    <t>239123.WAV</t>
  </si>
  <si>
    <t>239123.CSV</t>
  </si>
  <si>
    <t>CSV/239123.CSV</t>
  </si>
  <si>
    <t>403052.WAV</t>
  </si>
  <si>
    <t>403052.CSV</t>
  </si>
  <si>
    <t>CSV/403052.CSV</t>
  </si>
  <si>
    <t>344451.WAV</t>
  </si>
  <si>
    <t>344451.CSV</t>
  </si>
  <si>
    <t>CSV/344451.CSV</t>
  </si>
  <si>
    <t>29.1.25</t>
  </si>
  <si>
    <t>52424.WAV</t>
  </si>
  <si>
    <t>52424.CSV</t>
  </si>
  <si>
    <t>CSV/52424.CSV</t>
  </si>
  <si>
    <t>140459.WAV</t>
  </si>
  <si>
    <t>140459.CSV</t>
  </si>
  <si>
    <t>CSV/140459.CSV</t>
  </si>
  <si>
    <t>91713.WAV</t>
  </si>
  <si>
    <t>91713.CSV</t>
  </si>
  <si>
    <t>CSV/91713.CSV</t>
  </si>
  <si>
    <t>605455.WAV</t>
  </si>
  <si>
    <t>605455.CSV</t>
  </si>
  <si>
    <t>CSV/605455.CSV</t>
  </si>
  <si>
    <t>70679.WAV</t>
  </si>
  <si>
    <t>70679.CSV</t>
  </si>
  <si>
    <t>CSV/70679.CSV</t>
  </si>
  <si>
    <t>137012.WAV</t>
  </si>
  <si>
    <t>137012.CSV</t>
  </si>
  <si>
    <t>CSV/137012.CSV</t>
  </si>
  <si>
    <t>108126.WAV</t>
  </si>
  <si>
    <t>108126.CSV</t>
  </si>
  <si>
    <t>CSV/108126.CSV</t>
  </si>
  <si>
    <t>120996.WAV</t>
  </si>
  <si>
    <t>120996.CSV</t>
  </si>
  <si>
    <t>CSV/120996.CSV</t>
  </si>
  <si>
    <t>349688.WAV</t>
  </si>
  <si>
    <t>349688.CSV</t>
  </si>
  <si>
    <t>CSV/349688.CSV</t>
  </si>
  <si>
    <t>405487.WAV</t>
  </si>
  <si>
    <t>405487.CSV</t>
  </si>
  <si>
    <t>CSV/405487.CSV</t>
  </si>
  <si>
    <t>16.09.25</t>
  </si>
  <si>
    <t>368070.WAV</t>
  </si>
  <si>
    <t>368070.CSV</t>
  </si>
  <si>
    <t>CSV/368070.CSV</t>
  </si>
  <si>
    <t>0.09</t>
  </si>
  <si>
    <t>S</t>
  </si>
  <si>
    <t>13.03.25</t>
  </si>
  <si>
    <t>304987.WAV</t>
  </si>
  <si>
    <t>304987.CSV</t>
  </si>
  <si>
    <t>CSV/304987.CSV</t>
  </si>
  <si>
    <t>1.41</t>
  </si>
  <si>
    <t>&lt;10 g</t>
  </si>
  <si>
    <t>358997.WAV</t>
  </si>
  <si>
    <t>358997.CSV</t>
  </si>
  <si>
    <t>CSV/358997.CSV</t>
  </si>
  <si>
    <t>134804.WAV</t>
  </si>
  <si>
    <t>134804.CSV</t>
  </si>
  <si>
    <t>CSV/134804.CSV</t>
  </si>
  <si>
    <t>18.03.25</t>
  </si>
  <si>
    <t>1.WAV</t>
  </si>
  <si>
    <t>1.CSV</t>
  </si>
  <si>
    <t>CSV/1.CSV</t>
  </si>
  <si>
    <t>330009.WAV</t>
  </si>
  <si>
    <t>330009.CSV</t>
  </si>
  <si>
    <t>CSV/330009.CSV</t>
  </si>
  <si>
    <t>1.04</t>
  </si>
  <si>
    <t>0.98</t>
  </si>
  <si>
    <t xml:space="preserve">&lt;10 g </t>
  </si>
  <si>
    <t>14.04.25</t>
  </si>
  <si>
    <t>76129.WAV</t>
  </si>
  <si>
    <t>76129.CSV</t>
  </si>
  <si>
    <t>CSV/76129.CSV</t>
  </si>
  <si>
    <t>0.86</t>
  </si>
  <si>
    <t>29 g</t>
  </si>
  <si>
    <t>201739.WAV</t>
  </si>
  <si>
    <t>201739.CSV</t>
  </si>
  <si>
    <t>CSV/201739.CSV</t>
  </si>
  <si>
    <t>3.25</t>
  </si>
  <si>
    <t>0.91</t>
  </si>
  <si>
    <t>480614.WAV</t>
  </si>
  <si>
    <t>480614.CSV</t>
  </si>
  <si>
    <t>CSV/480614.CSV</t>
  </si>
  <si>
    <t>3.46</t>
  </si>
  <si>
    <t>0.65</t>
  </si>
  <si>
    <t>26.3 g</t>
  </si>
  <si>
    <t>654123.WAV</t>
  </si>
  <si>
    <t>654123.CSV</t>
  </si>
  <si>
    <t>CSV/654123.CSV</t>
  </si>
  <si>
    <t>1.01</t>
  </si>
  <si>
    <t xml:space="preserve">34.3 g </t>
  </si>
  <si>
    <t>682261.WAV</t>
  </si>
  <si>
    <t>682261.CSV</t>
  </si>
  <si>
    <t>CSV/682261.CSV</t>
  </si>
  <si>
    <t>0.83</t>
  </si>
  <si>
    <t>POR Qmax 4</t>
  </si>
  <si>
    <t xml:space="preserve">IMAGINO QUE </t>
  </si>
  <si>
    <t>NO ORINO</t>
  </si>
  <si>
    <t>FALTA AUDIO?</t>
  </si>
  <si>
    <t>1.65</t>
  </si>
  <si>
    <t>0.84</t>
  </si>
  <si>
    <t>38.6g</t>
  </si>
  <si>
    <t>1131557.WAV</t>
  </si>
  <si>
    <t>1131557.CSV</t>
  </si>
  <si>
    <t>CSV/1131557.CSV</t>
  </si>
  <si>
    <t>0.82</t>
  </si>
  <si>
    <t>21.7g</t>
  </si>
  <si>
    <t>30.04.25</t>
  </si>
  <si>
    <t>86518.WAV</t>
  </si>
  <si>
    <t>86518.CSV</t>
  </si>
  <si>
    <t>CSV/86518.CSV</t>
  </si>
  <si>
    <t>0.85</t>
  </si>
  <si>
    <t>0.93</t>
  </si>
  <si>
    <t>71.3 g</t>
  </si>
  <si>
    <t>144913.WAV</t>
  </si>
  <si>
    <t>144913.CSV</t>
  </si>
  <si>
    <t>CSV/144913.CSV</t>
  </si>
  <si>
    <t>2.7</t>
  </si>
  <si>
    <t>27.6 g</t>
  </si>
  <si>
    <t>180791.WAV</t>
  </si>
  <si>
    <t>180791.CSV</t>
  </si>
  <si>
    <t>CSV/180791.CSV</t>
  </si>
  <si>
    <t>3.51</t>
  </si>
  <si>
    <t>1.06</t>
  </si>
  <si>
    <t>527117.WAV</t>
  </si>
  <si>
    <t>527117.CSV</t>
  </si>
  <si>
    <t>CSV/527117.CSV</t>
  </si>
  <si>
    <t>2.69</t>
  </si>
  <si>
    <t>0.87</t>
  </si>
  <si>
    <t xml:space="preserve">29.9 g </t>
  </si>
  <si>
    <t>654678.WAV</t>
  </si>
  <si>
    <t>654678.CSV</t>
  </si>
  <si>
    <t>CSV/654678.CSV</t>
  </si>
  <si>
    <t>0.88</t>
  </si>
  <si>
    <t>14.1g</t>
  </si>
  <si>
    <t>685995.WAV</t>
  </si>
  <si>
    <t>685995.CSV</t>
  </si>
  <si>
    <t>CSV/685995.CSV</t>
  </si>
  <si>
    <t>0.94</t>
  </si>
  <si>
    <t>696545.WAV</t>
  </si>
  <si>
    <t>696545.CSV</t>
  </si>
  <si>
    <t>CSV/696545.CSV</t>
  </si>
  <si>
    <t>668688.WAV</t>
  </si>
  <si>
    <t>668688.CSV</t>
  </si>
  <si>
    <t>CSV/668688.CSV</t>
  </si>
  <si>
    <t>1.0</t>
  </si>
  <si>
    <t>313640.WAV</t>
  </si>
  <si>
    <t>313640.CSV</t>
  </si>
  <si>
    <t>CSV/313640.CSV</t>
  </si>
  <si>
    <t>1.35</t>
  </si>
  <si>
    <t>647508.WAV</t>
  </si>
  <si>
    <t>647508.CSV</t>
  </si>
  <si>
    <t>CSV/647508.CSV</t>
  </si>
  <si>
    <t>397453.WAV</t>
  </si>
  <si>
    <t>397453.CSV</t>
  </si>
  <si>
    <t>CSV/397453.CSV</t>
  </si>
  <si>
    <t>1.17</t>
  </si>
  <si>
    <t>12.7 g</t>
  </si>
  <si>
    <t>653762.WAV</t>
  </si>
  <si>
    <t>653762.CSV</t>
  </si>
  <si>
    <t>CSV/653762.CSV</t>
  </si>
  <si>
    <t>13 g</t>
  </si>
  <si>
    <t>701609.WAV</t>
  </si>
  <si>
    <t>falta?</t>
  </si>
  <si>
    <t>CSV/nan</t>
  </si>
  <si>
    <t>1.1</t>
  </si>
  <si>
    <t>&lt; 10 g</t>
  </si>
  <si>
    <t>657262.WAV</t>
  </si>
  <si>
    <t>657262.CSV</t>
  </si>
  <si>
    <t>CSV/657262.CSV</t>
  </si>
  <si>
    <t>1.29</t>
  </si>
  <si>
    <t xml:space="preserve">26.5 g </t>
  </si>
  <si>
    <t>18.09.25</t>
  </si>
  <si>
    <t>1434070.WAV</t>
  </si>
  <si>
    <t>1434070.CSV</t>
  </si>
  <si>
    <t>CSV/1434070.CSV</t>
  </si>
  <si>
    <t>684333.WAV</t>
  </si>
  <si>
    <t>684333.CSV</t>
  </si>
  <si>
    <t>CSV/684333.CSV</t>
  </si>
  <si>
    <t>0.89</t>
  </si>
  <si>
    <t>615500.WAV</t>
  </si>
  <si>
    <t>615500.CSV</t>
  </si>
  <si>
    <t>CSV/615500.CSV</t>
  </si>
  <si>
    <t>0.96</t>
  </si>
  <si>
    <t>duration</t>
  </si>
  <si>
    <t>y_max</t>
  </si>
  <si>
    <t>y_min</t>
  </si>
  <si>
    <t>y_mean</t>
  </si>
  <si>
    <t>y_median</t>
  </si>
  <si>
    <t>y_std</t>
  </si>
  <si>
    <t>auc</t>
  </si>
  <si>
    <t>n_peaks</t>
  </si>
  <si>
    <t>asymmetry</t>
  </si>
  <si>
    <t>time_to_peak</t>
  </si>
  <si>
    <t>fwhm</t>
  </si>
  <si>
    <t>skewness</t>
  </si>
  <si>
    <t>kurtosis</t>
  </si>
  <si>
    <t>length</t>
  </si>
  <si>
    <t>csv_file</t>
  </si>
  <si>
    <t>diagnostico</t>
  </si>
  <si>
    <t>feature</t>
  </si>
  <si>
    <t>n_S</t>
  </si>
  <si>
    <t>n_P</t>
  </si>
  <si>
    <t>mean_S</t>
  </si>
  <si>
    <t>mean_P</t>
  </si>
  <si>
    <t>p_value</t>
  </si>
  <si>
    <t>stat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</si>
</sst>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7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16" borderId="7" applyNumberFormat="0" applyFon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vertical="top"/>
    </xf>
    <xf numFmtId="9" fontId="0" fillId="0" borderId="0" xfId="0" applyNumberFormat="1" applyAlignment="1">
      <alignment horizontal="center" vertical="top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top"/>
    </xf>
    <xf numFmtId="58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17"/>
  <sheetViews>
    <sheetView tabSelected="1" zoomScale="135" zoomScaleNormal="135" topLeftCell="E40" workbookViewId="0">
      <selection activeCell="R40" sqref="R40"/>
    </sheetView>
  </sheetViews>
  <sheetFormatPr defaultColWidth="8.83333333333333" defaultRowHeight="12.75"/>
  <cols>
    <col min="1" max="5" width="8.83333333333333" style="5"/>
    <col min="6" max="6" width="10.1666666666667" style="5" customWidth="1"/>
    <col min="7" max="7" width="8.83333333333333" style="5"/>
    <col min="8" max="8" width="9.5" style="5" customWidth="1"/>
    <col min="9" max="17" width="8.83333333333333" style="5"/>
    <col min="18" max="18" width="11.5" style="5" customWidth="1"/>
    <col min="19" max="19" width="12.1666666666667" style="5" customWidth="1"/>
    <col min="20" max="20" width="8.83333333333333" style="5"/>
    <col min="21" max="21" width="23.8333333333333" style="5" customWidth="1"/>
    <col min="22" max="22" width="17.3333333333333" style="5" customWidth="1"/>
    <col min="23" max="23" width="12" style="5" customWidth="1"/>
    <col min="24" max="24" width="13.8333333333333" style="5" customWidth="1"/>
    <col min="25" max="25" width="8.83333333333333" style="5"/>
    <col min="26" max="26" width="16.6666666666667" style="5" customWidth="1"/>
    <col min="27" max="27" width="8.83333333333333" style="5"/>
    <col min="28" max="28" width="14.6666666666667" style="5" customWidth="1"/>
    <col min="29" max="29" width="13.1666666666667" style="5" customWidth="1"/>
    <col min="30" max="30" width="13.6666666666667" style="5" customWidth="1"/>
    <col min="31" max="31" width="11.3333333333333" style="5" customWidth="1"/>
    <col min="32" max="32" width="8.83333333333333" style="5"/>
    <col min="33" max="33" width="13.1666666666667" style="5" customWidth="1"/>
    <col min="34" max="16384" width="8.83333333333333" style="5"/>
  </cols>
  <sheetData>
    <row r="1" s="2" customForma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  <c r="AI1" s="1"/>
    </row>
    <row r="2" s="3" customFormat="1" spans="1:32">
      <c r="A2" s="6" t="s">
        <v>32</v>
      </c>
      <c r="B2" s="6" t="s">
        <v>1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38</v>
      </c>
      <c r="L2" s="6" t="s">
        <v>40</v>
      </c>
      <c r="M2" s="6" t="s">
        <v>40</v>
      </c>
      <c r="N2" s="6" t="s">
        <v>39</v>
      </c>
      <c r="O2" s="6" t="s">
        <v>41</v>
      </c>
      <c r="P2" s="6" t="s">
        <v>42</v>
      </c>
      <c r="Q2" s="6" t="s">
        <v>43</v>
      </c>
      <c r="R2" s="6" t="s">
        <v>44</v>
      </c>
      <c r="S2" s="6" t="s">
        <v>45</v>
      </c>
      <c r="T2" s="6" t="s">
        <v>46</v>
      </c>
      <c r="U2" s="6" t="s">
        <v>47</v>
      </c>
      <c r="V2" s="6" t="s">
        <v>48</v>
      </c>
      <c r="W2" s="6"/>
      <c r="X2" s="6"/>
      <c r="Y2" s="6"/>
      <c r="Z2" s="6" t="s">
        <v>49</v>
      </c>
      <c r="AA2" s="6" t="s">
        <v>50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</row>
    <row r="3" spans="1:32">
      <c r="A3" s="5" t="s">
        <v>52</v>
      </c>
      <c r="B3" s="5">
        <v>156458</v>
      </c>
      <c r="C3" s="5" t="s">
        <v>53</v>
      </c>
      <c r="D3" s="5" t="s">
        <v>54</v>
      </c>
      <c r="E3" s="5">
        <v>52</v>
      </c>
      <c r="F3" s="5">
        <v>72.54</v>
      </c>
      <c r="G3" s="5">
        <v>72.28</v>
      </c>
      <c r="H3" s="5">
        <v>260.000000000005</v>
      </c>
      <c r="I3" s="5">
        <v>20</v>
      </c>
      <c r="J3" s="5">
        <v>266</v>
      </c>
      <c r="K3" s="5">
        <v>43</v>
      </c>
      <c r="L3" s="5">
        <v>10.9</v>
      </c>
      <c r="M3" s="5">
        <v>6.2</v>
      </c>
      <c r="N3" s="5">
        <v>0</v>
      </c>
      <c r="O3" s="5">
        <v>26</v>
      </c>
      <c r="P3" s="5">
        <v>5</v>
      </c>
      <c r="Q3" s="5">
        <v>23</v>
      </c>
      <c r="R3" s="5" t="s">
        <v>55</v>
      </c>
      <c r="S3" s="5" t="s">
        <v>56</v>
      </c>
      <c r="T3" s="5" t="s">
        <v>57</v>
      </c>
      <c r="V3" s="5" t="s">
        <v>58</v>
      </c>
      <c r="W3" s="5">
        <v>1.33</v>
      </c>
      <c r="X3" s="5" t="s">
        <v>59</v>
      </c>
      <c r="Y3" s="5">
        <v>0.99</v>
      </c>
      <c r="Z3" s="5">
        <v>19</v>
      </c>
      <c r="AA3" s="5" t="s">
        <v>60</v>
      </c>
      <c r="AB3" s="5" t="s">
        <v>61</v>
      </c>
      <c r="AC3" s="5" t="s">
        <v>61</v>
      </c>
      <c r="AD3" s="5" t="s">
        <v>61</v>
      </c>
      <c r="AE3" s="5" t="s">
        <v>57</v>
      </c>
      <c r="AF3" s="5" t="s">
        <v>61</v>
      </c>
    </row>
    <row r="4" spans="1:32">
      <c r="A4" s="5" t="s">
        <v>52</v>
      </c>
      <c r="B4" s="5">
        <v>597967</v>
      </c>
      <c r="C4" s="5" t="s">
        <v>62</v>
      </c>
      <c r="D4" s="5" t="s">
        <v>54</v>
      </c>
      <c r="E4" s="5">
        <v>72</v>
      </c>
      <c r="F4" s="5">
        <v>73.32</v>
      </c>
      <c r="G4" s="5">
        <v>73.04</v>
      </c>
      <c r="H4" s="5">
        <v>279.999999999987</v>
      </c>
      <c r="I4" s="5">
        <v>11</v>
      </c>
      <c r="J4" s="5">
        <v>295</v>
      </c>
      <c r="K4" s="5">
        <v>44</v>
      </c>
      <c r="L4" s="5">
        <v>17.1</v>
      </c>
      <c r="M4" s="5">
        <v>6.9</v>
      </c>
      <c r="N4" s="5">
        <v>16</v>
      </c>
      <c r="O4" s="5">
        <v>11</v>
      </c>
      <c r="P4" s="5">
        <v>4</v>
      </c>
      <c r="Q4" s="5">
        <v>23</v>
      </c>
      <c r="R4" s="5" t="s">
        <v>55</v>
      </c>
      <c r="S4" s="5" t="s">
        <v>63</v>
      </c>
      <c r="T4" s="5" t="s">
        <v>57</v>
      </c>
      <c r="V4" s="5" t="s">
        <v>64</v>
      </c>
      <c r="W4" s="5">
        <v>6.88</v>
      </c>
      <c r="X4" s="9">
        <v>0.091</v>
      </c>
      <c r="Y4" s="5">
        <v>0.97</v>
      </c>
      <c r="Z4" s="5">
        <v>82</v>
      </c>
      <c r="AA4" s="5" t="s">
        <v>65</v>
      </c>
      <c r="AB4" s="5" t="s">
        <v>57</v>
      </c>
      <c r="AC4" s="5" t="s">
        <v>57</v>
      </c>
      <c r="AD4" s="5" t="s">
        <v>61</v>
      </c>
      <c r="AE4" s="5" t="s">
        <v>61</v>
      </c>
      <c r="AF4" s="5" t="s">
        <v>57</v>
      </c>
    </row>
    <row r="5" spans="1:32">
      <c r="A5" s="5" t="s">
        <v>52</v>
      </c>
      <c r="B5" s="5">
        <v>10394</v>
      </c>
      <c r="C5" s="5" t="s">
        <v>62</v>
      </c>
      <c r="D5" s="5" t="s">
        <v>54</v>
      </c>
      <c r="E5" s="5">
        <v>67</v>
      </c>
      <c r="F5" s="5">
        <v>91.35</v>
      </c>
      <c r="G5" s="5">
        <v>91.22</v>
      </c>
      <c r="H5" s="5">
        <v>129.999999999995</v>
      </c>
      <c r="I5" s="5">
        <v>29</v>
      </c>
      <c r="J5" s="5">
        <v>142</v>
      </c>
      <c r="K5" s="5">
        <v>42</v>
      </c>
      <c r="L5" s="5">
        <v>14.4</v>
      </c>
      <c r="M5" s="5">
        <v>3.4</v>
      </c>
      <c r="N5" s="5">
        <v>79</v>
      </c>
      <c r="O5" s="5">
        <v>20</v>
      </c>
      <c r="P5" s="5">
        <v>2</v>
      </c>
      <c r="Q5" s="5">
        <v>8</v>
      </c>
      <c r="R5" s="5" t="s">
        <v>55</v>
      </c>
      <c r="S5" s="5" t="s">
        <v>66</v>
      </c>
      <c r="T5" s="5" t="s">
        <v>57</v>
      </c>
      <c r="V5" s="5" t="s">
        <v>67</v>
      </c>
      <c r="W5" s="5">
        <v>2.19</v>
      </c>
      <c r="X5" s="5" t="s">
        <v>59</v>
      </c>
      <c r="Y5" s="5">
        <v>1.04</v>
      </c>
      <c r="Z5" s="5">
        <v>48.2</v>
      </c>
      <c r="AA5" s="5" t="s">
        <v>68</v>
      </c>
      <c r="AB5" s="5" t="s">
        <v>61</v>
      </c>
      <c r="AC5" s="5" t="s">
        <v>61</v>
      </c>
      <c r="AD5" s="5" t="s">
        <v>61</v>
      </c>
      <c r="AE5" s="5" t="s">
        <v>57</v>
      </c>
      <c r="AF5" s="5" t="s">
        <v>61</v>
      </c>
    </row>
    <row r="6" spans="1:32">
      <c r="A6" s="5" t="s">
        <v>52</v>
      </c>
      <c r="B6" s="5">
        <v>18736</v>
      </c>
      <c r="C6" s="5" t="s">
        <v>62</v>
      </c>
      <c r="D6" s="5" t="s">
        <v>54</v>
      </c>
      <c r="E6" s="5">
        <v>68</v>
      </c>
      <c r="F6" s="5">
        <v>90.61</v>
      </c>
      <c r="G6" s="5">
        <v>90.42</v>
      </c>
      <c r="H6" s="5">
        <v>189.999999999998</v>
      </c>
      <c r="I6" s="5">
        <v>1</v>
      </c>
      <c r="J6" s="5">
        <v>230</v>
      </c>
      <c r="K6" s="5">
        <v>27</v>
      </c>
      <c r="L6" s="5">
        <v>20.4</v>
      </c>
      <c r="M6" s="5">
        <v>8.5</v>
      </c>
      <c r="N6" s="5">
        <v>34</v>
      </c>
      <c r="O6" s="5">
        <v>12</v>
      </c>
      <c r="P6" s="5">
        <v>1</v>
      </c>
      <c r="Q6" s="5">
        <v>16</v>
      </c>
      <c r="R6" s="5" t="s">
        <v>55</v>
      </c>
      <c r="S6" s="5" t="s">
        <v>69</v>
      </c>
      <c r="T6" s="5" t="s">
        <v>57</v>
      </c>
      <c r="V6" s="5" t="s">
        <v>70</v>
      </c>
      <c r="W6" s="5">
        <v>3.53</v>
      </c>
      <c r="X6" s="10">
        <v>0.21</v>
      </c>
      <c r="Y6" s="5">
        <v>0.93</v>
      </c>
      <c r="Z6" s="5">
        <v>55</v>
      </c>
      <c r="AA6" s="5" t="s">
        <v>71</v>
      </c>
      <c r="AB6" s="5" t="s">
        <v>61</v>
      </c>
      <c r="AC6" s="5" t="s">
        <v>61</v>
      </c>
      <c r="AD6" s="5" t="s">
        <v>57</v>
      </c>
      <c r="AE6" s="5" t="s">
        <v>57</v>
      </c>
      <c r="AF6" s="5" t="s">
        <v>61</v>
      </c>
    </row>
    <row r="7" spans="1:32">
      <c r="A7" s="5" t="s">
        <v>52</v>
      </c>
      <c r="B7" s="5">
        <v>496235</v>
      </c>
      <c r="C7" s="5" t="s">
        <v>62</v>
      </c>
      <c r="D7" s="5" t="s">
        <v>54</v>
      </c>
      <c r="E7" s="5">
        <v>67</v>
      </c>
      <c r="F7" s="5">
        <v>85.93</v>
      </c>
      <c r="G7" s="5">
        <v>85.86</v>
      </c>
      <c r="H7" s="5">
        <v>70.0000000000074</v>
      </c>
      <c r="I7" s="5">
        <v>3</v>
      </c>
      <c r="J7" s="5">
        <v>84</v>
      </c>
      <c r="K7" s="5">
        <v>26</v>
      </c>
      <c r="L7" s="5">
        <v>7.3</v>
      </c>
      <c r="M7" s="5">
        <v>3.3</v>
      </c>
      <c r="N7" s="5">
        <v>52</v>
      </c>
      <c r="O7" s="5">
        <v>24</v>
      </c>
      <c r="P7" s="5">
        <v>4</v>
      </c>
      <c r="Q7" s="5">
        <v>13</v>
      </c>
      <c r="R7" s="5" t="s">
        <v>55</v>
      </c>
      <c r="S7" s="5" t="s">
        <v>72</v>
      </c>
      <c r="T7" s="5" t="s">
        <v>57</v>
      </c>
      <c r="V7" s="5" t="s">
        <v>73</v>
      </c>
      <c r="W7" s="5">
        <v>2.21</v>
      </c>
      <c r="X7" s="5" t="s">
        <v>59</v>
      </c>
      <c r="Y7" s="5">
        <v>0.74</v>
      </c>
      <c r="Z7" s="5">
        <v>120</v>
      </c>
      <c r="AA7" s="5" t="s">
        <v>65</v>
      </c>
      <c r="AB7" s="5" t="s">
        <v>61</v>
      </c>
      <c r="AC7" s="5" t="s">
        <v>57</v>
      </c>
      <c r="AD7" s="5" t="s">
        <v>61</v>
      </c>
      <c r="AE7" s="5" t="s">
        <v>61</v>
      </c>
      <c r="AF7" s="5" t="s">
        <v>61</v>
      </c>
    </row>
    <row r="8" ht="15" spans="1:32">
      <c r="A8" s="5" t="s">
        <v>52</v>
      </c>
      <c r="B8" s="5">
        <v>148444</v>
      </c>
      <c r="C8" s="5" t="s">
        <v>62</v>
      </c>
      <c r="D8" s="5" t="s">
        <v>54</v>
      </c>
      <c r="E8" s="5">
        <v>72</v>
      </c>
      <c r="F8" s="5">
        <v>89.7</v>
      </c>
      <c r="G8" s="7"/>
      <c r="H8" s="7"/>
      <c r="I8" s="5">
        <v>4</v>
      </c>
      <c r="J8" s="5">
        <v>90</v>
      </c>
      <c r="K8" s="5">
        <v>17</v>
      </c>
      <c r="L8" s="5">
        <v>9.7</v>
      </c>
      <c r="M8" s="5">
        <v>5.4</v>
      </c>
      <c r="N8" s="5">
        <v>0</v>
      </c>
      <c r="O8" s="5">
        <v>17</v>
      </c>
      <c r="P8" s="5">
        <v>5</v>
      </c>
      <c r="Q8" s="5">
        <v>5</v>
      </c>
      <c r="R8" s="5" t="s">
        <v>55</v>
      </c>
      <c r="S8" s="5" t="s">
        <v>74</v>
      </c>
      <c r="T8" s="5" t="s">
        <v>57</v>
      </c>
      <c r="V8" s="5" t="s">
        <v>75</v>
      </c>
      <c r="W8" s="5">
        <v>0.54</v>
      </c>
      <c r="X8" s="5" t="s">
        <v>59</v>
      </c>
      <c r="Y8" s="5">
        <v>0.78</v>
      </c>
      <c r="Z8" s="5">
        <v>25</v>
      </c>
      <c r="AA8" s="5" t="s">
        <v>71</v>
      </c>
      <c r="AB8" s="13" t="s">
        <v>61</v>
      </c>
      <c r="AC8" s="5" t="s">
        <v>61</v>
      </c>
      <c r="AD8" s="5" t="s">
        <v>61</v>
      </c>
      <c r="AE8" s="5" t="s">
        <v>57</v>
      </c>
      <c r="AF8" s="5" t="s">
        <v>61</v>
      </c>
    </row>
    <row r="9" spans="1:32">
      <c r="A9" s="5" t="s">
        <v>52</v>
      </c>
      <c r="B9" s="5">
        <v>125259</v>
      </c>
      <c r="C9" s="5" t="s">
        <v>76</v>
      </c>
      <c r="D9" s="5" t="s">
        <v>54</v>
      </c>
      <c r="E9" s="5">
        <v>88</v>
      </c>
      <c r="F9" s="5">
        <v>85</v>
      </c>
      <c r="G9" s="5">
        <v>84.3</v>
      </c>
      <c r="H9" s="5">
        <v>70</v>
      </c>
      <c r="I9" s="5">
        <v>4</v>
      </c>
      <c r="J9" s="5">
        <v>30</v>
      </c>
      <c r="K9" s="5">
        <v>6</v>
      </c>
      <c r="L9" s="5">
        <v>3.6</v>
      </c>
      <c r="M9" s="5">
        <v>1.5</v>
      </c>
      <c r="N9" s="5">
        <v>165</v>
      </c>
      <c r="O9" s="5">
        <v>11</v>
      </c>
      <c r="P9" s="5">
        <v>2</v>
      </c>
      <c r="Q9" s="5">
        <v>0</v>
      </c>
      <c r="R9" s="5" t="s">
        <v>77</v>
      </c>
      <c r="S9" s="5" t="s">
        <v>78</v>
      </c>
      <c r="T9" s="5" t="s">
        <v>57</v>
      </c>
      <c r="V9" s="5" t="s">
        <v>79</v>
      </c>
      <c r="W9" s="5">
        <v>1.51</v>
      </c>
      <c r="X9" s="5" t="s">
        <v>59</v>
      </c>
      <c r="Y9" s="5">
        <v>1.92</v>
      </c>
      <c r="Z9" s="5">
        <v>79</v>
      </c>
      <c r="AA9" s="5" t="s">
        <v>71</v>
      </c>
      <c r="AB9" s="5" t="s">
        <v>61</v>
      </c>
      <c r="AC9" s="5" t="s">
        <v>61</v>
      </c>
      <c r="AD9" s="5" t="s">
        <v>61</v>
      </c>
      <c r="AE9" s="5" t="s">
        <v>61</v>
      </c>
      <c r="AF9" s="5" t="s">
        <v>61</v>
      </c>
    </row>
    <row r="10" spans="1:32">
      <c r="A10" s="5" t="s">
        <v>52</v>
      </c>
      <c r="B10" s="5">
        <v>133627</v>
      </c>
      <c r="C10" s="5" t="s">
        <v>76</v>
      </c>
      <c r="D10" s="5" t="s">
        <v>54</v>
      </c>
      <c r="E10" s="5">
        <v>58</v>
      </c>
      <c r="F10" s="5">
        <v>66.9</v>
      </c>
      <c r="G10" s="5">
        <v>66.58</v>
      </c>
      <c r="H10" s="5">
        <v>320.000000000007</v>
      </c>
      <c r="I10" s="5">
        <v>10</v>
      </c>
      <c r="J10" s="5">
        <v>325</v>
      </c>
      <c r="K10" s="5">
        <v>34</v>
      </c>
      <c r="L10" s="5">
        <v>16</v>
      </c>
      <c r="M10" s="5">
        <v>9.6</v>
      </c>
      <c r="N10" s="5">
        <v>17</v>
      </c>
      <c r="O10" s="5">
        <v>13</v>
      </c>
      <c r="P10" s="5">
        <v>5</v>
      </c>
      <c r="Q10" s="5">
        <v>15</v>
      </c>
      <c r="R10" s="5" t="s">
        <v>80</v>
      </c>
      <c r="S10" s="5" t="s">
        <v>81</v>
      </c>
      <c r="T10" s="5" t="s">
        <v>57</v>
      </c>
      <c r="U10" s="5" t="s">
        <v>82</v>
      </c>
      <c r="V10" s="5" t="s">
        <v>83</v>
      </c>
      <c r="W10" s="8">
        <v>0.82</v>
      </c>
      <c r="X10" s="8" t="s">
        <v>59</v>
      </c>
      <c r="Y10" s="8">
        <v>1.06</v>
      </c>
      <c r="Z10" s="8">
        <v>45</v>
      </c>
      <c r="AA10" s="8" t="s">
        <v>71</v>
      </c>
      <c r="AB10" s="8" t="s">
        <v>61</v>
      </c>
      <c r="AC10" s="8" t="s">
        <v>61</v>
      </c>
      <c r="AD10" s="8" t="s">
        <v>61</v>
      </c>
      <c r="AE10" s="8" t="s">
        <v>61</v>
      </c>
      <c r="AF10" s="8" t="s">
        <v>61</v>
      </c>
    </row>
    <row r="11" spans="1:32">
      <c r="A11" s="5" t="s">
        <v>52</v>
      </c>
      <c r="B11" s="5">
        <v>69783</v>
      </c>
      <c r="C11" s="5" t="s">
        <v>84</v>
      </c>
      <c r="D11" s="5" t="s">
        <v>54</v>
      </c>
      <c r="E11" s="5">
        <v>50</v>
      </c>
      <c r="F11" s="5">
        <v>92.45</v>
      </c>
      <c r="G11" s="5">
        <v>91.9</v>
      </c>
      <c r="H11" s="5">
        <v>549.999999999997</v>
      </c>
      <c r="I11" s="5">
        <v>15</v>
      </c>
      <c r="J11" s="5">
        <v>320</v>
      </c>
      <c r="K11" s="5">
        <v>19</v>
      </c>
      <c r="L11" s="5">
        <v>25.4</v>
      </c>
      <c r="M11" s="5">
        <v>16.6</v>
      </c>
      <c r="N11" s="5">
        <v>0</v>
      </c>
      <c r="O11" s="5">
        <v>4</v>
      </c>
      <c r="P11" s="5">
        <v>2</v>
      </c>
      <c r="Q11" s="5">
        <v>25</v>
      </c>
      <c r="R11" s="5" t="s">
        <v>85</v>
      </c>
      <c r="S11" s="5" t="s">
        <v>86</v>
      </c>
      <c r="T11" s="5" t="s">
        <v>57</v>
      </c>
      <c r="V11" s="5" t="s">
        <v>87</v>
      </c>
      <c r="W11" s="8">
        <v>0.5</v>
      </c>
      <c r="X11" s="8" t="s">
        <v>59</v>
      </c>
      <c r="Y11" s="8">
        <v>1.46</v>
      </c>
      <c r="Z11" s="8">
        <v>20</v>
      </c>
      <c r="AA11" s="8" t="s">
        <v>60</v>
      </c>
      <c r="AB11" s="8" t="s">
        <v>61</v>
      </c>
      <c r="AC11" s="8" t="s">
        <v>61</v>
      </c>
      <c r="AD11" s="8" t="s">
        <v>61</v>
      </c>
      <c r="AE11" s="8" t="s">
        <v>61</v>
      </c>
      <c r="AF11" s="8" t="s">
        <v>61</v>
      </c>
    </row>
    <row r="12" spans="1:32">
      <c r="A12" s="5" t="s">
        <v>52</v>
      </c>
      <c r="B12" s="5">
        <v>471014</v>
      </c>
      <c r="C12" s="5" t="s">
        <v>84</v>
      </c>
      <c r="D12" s="5" t="s">
        <v>54</v>
      </c>
      <c r="E12" s="5">
        <v>77</v>
      </c>
      <c r="F12" s="5">
        <v>80.02</v>
      </c>
      <c r="G12" s="5">
        <v>79.92</v>
      </c>
      <c r="H12" s="5">
        <v>99.9999999999943</v>
      </c>
      <c r="I12" s="5">
        <v>20</v>
      </c>
      <c r="J12" s="5">
        <v>83</v>
      </c>
      <c r="K12" s="5">
        <v>28</v>
      </c>
      <c r="L12" s="5">
        <v>6.8</v>
      </c>
      <c r="M12" s="5">
        <v>3</v>
      </c>
      <c r="N12" s="5">
        <v>10</v>
      </c>
      <c r="O12" s="5">
        <v>9</v>
      </c>
      <c r="P12" s="5">
        <v>0</v>
      </c>
      <c r="Q12" s="5">
        <v>16</v>
      </c>
      <c r="R12" s="5" t="s">
        <v>88</v>
      </c>
      <c r="S12" s="5" t="s">
        <v>89</v>
      </c>
      <c r="T12" s="5" t="s">
        <v>57</v>
      </c>
      <c r="V12" s="5" t="s">
        <v>90</v>
      </c>
      <c r="W12" s="8">
        <v>0.22</v>
      </c>
      <c r="X12" s="8" t="s">
        <v>59</v>
      </c>
      <c r="Y12" s="8">
        <v>1.19</v>
      </c>
      <c r="Z12" s="8">
        <v>23.5</v>
      </c>
      <c r="AA12" s="8" t="s">
        <v>60</v>
      </c>
      <c r="AB12" s="8" t="s">
        <v>61</v>
      </c>
      <c r="AC12" s="8" t="s">
        <v>57</v>
      </c>
      <c r="AD12" s="8" t="s">
        <v>61</v>
      </c>
      <c r="AE12" s="8" t="s">
        <v>61</v>
      </c>
      <c r="AF12" s="8" t="s">
        <v>57</v>
      </c>
    </row>
    <row r="13" spans="1:32">
      <c r="A13" s="5" t="s">
        <v>52</v>
      </c>
      <c r="B13" s="5">
        <v>179682</v>
      </c>
      <c r="C13" s="5" t="s">
        <v>84</v>
      </c>
      <c r="D13" s="5" t="s">
        <v>54</v>
      </c>
      <c r="E13" s="5">
        <v>77</v>
      </c>
      <c r="F13" s="5">
        <v>88.31</v>
      </c>
      <c r="G13" s="5">
        <v>88.22</v>
      </c>
      <c r="H13" s="5">
        <v>90.0000000000034</v>
      </c>
      <c r="I13" s="5">
        <v>16</v>
      </c>
      <c r="J13" s="5">
        <v>75</v>
      </c>
      <c r="K13" s="5">
        <v>50</v>
      </c>
      <c r="L13" s="5">
        <v>4</v>
      </c>
      <c r="M13" s="5">
        <v>1.5</v>
      </c>
      <c r="N13" s="5">
        <v>10</v>
      </c>
      <c r="O13" s="5">
        <v>18</v>
      </c>
      <c r="P13" s="5">
        <v>5</v>
      </c>
      <c r="Q13" s="5">
        <v>6</v>
      </c>
      <c r="R13" s="5" t="s">
        <v>91</v>
      </c>
      <c r="S13" s="5" t="s">
        <v>92</v>
      </c>
      <c r="T13" s="5" t="s">
        <v>57</v>
      </c>
      <c r="V13" s="5" t="s">
        <v>93</v>
      </c>
      <c r="W13" s="8">
        <v>0.26</v>
      </c>
      <c r="X13" s="8" t="s">
        <v>59</v>
      </c>
      <c r="Y13" s="8">
        <v>0.9</v>
      </c>
      <c r="Z13" s="8">
        <v>73</v>
      </c>
      <c r="AA13" s="8" t="s">
        <v>65</v>
      </c>
      <c r="AB13" s="8" t="s">
        <v>61</v>
      </c>
      <c r="AC13" s="8" t="s">
        <v>61</v>
      </c>
      <c r="AD13" s="8" t="s">
        <v>57</v>
      </c>
      <c r="AE13" s="8" t="s">
        <v>61</v>
      </c>
      <c r="AF13" s="8" t="s">
        <v>61</v>
      </c>
    </row>
    <row r="14" spans="1:32">
      <c r="A14" s="5" t="s">
        <v>52</v>
      </c>
      <c r="B14" s="5">
        <v>27167</v>
      </c>
      <c r="C14" s="5" t="s">
        <v>84</v>
      </c>
      <c r="D14" s="5" t="s">
        <v>54</v>
      </c>
      <c r="E14" s="5">
        <v>79</v>
      </c>
      <c r="F14" s="5">
        <v>104.95</v>
      </c>
      <c r="G14" s="5">
        <v>104.89</v>
      </c>
      <c r="H14" s="5">
        <v>60.0000000000023</v>
      </c>
      <c r="I14" s="5">
        <v>9</v>
      </c>
      <c r="J14" s="5">
        <v>64</v>
      </c>
      <c r="K14" s="5">
        <v>42</v>
      </c>
      <c r="L14" s="5">
        <v>2.3</v>
      </c>
      <c r="M14" s="5">
        <v>1.5</v>
      </c>
      <c r="N14" s="5">
        <v>61</v>
      </c>
      <c r="O14" s="5">
        <v>28</v>
      </c>
      <c r="P14" s="5">
        <v>4</v>
      </c>
      <c r="Q14" s="5">
        <v>8</v>
      </c>
      <c r="R14" s="5" t="s">
        <v>94</v>
      </c>
      <c r="S14" s="5" t="s">
        <v>95</v>
      </c>
      <c r="T14" s="5" t="s">
        <v>57</v>
      </c>
      <c r="V14" s="5" t="s">
        <v>96</v>
      </c>
      <c r="W14" s="8">
        <v>1.8</v>
      </c>
      <c r="X14" s="8" t="s">
        <v>59</v>
      </c>
      <c r="Y14" s="8">
        <v>0.84</v>
      </c>
      <c r="Z14" s="8">
        <v>65</v>
      </c>
      <c r="AA14" s="8" t="s">
        <v>65</v>
      </c>
      <c r="AB14" s="8" t="s">
        <v>61</v>
      </c>
      <c r="AC14" s="8" t="s">
        <v>61</v>
      </c>
      <c r="AD14" s="8" t="s">
        <v>61</v>
      </c>
      <c r="AE14" s="8" t="s">
        <v>61</v>
      </c>
      <c r="AF14" s="8" t="s">
        <v>61</v>
      </c>
    </row>
    <row r="15" spans="1:32">
      <c r="A15" s="5" t="s">
        <v>52</v>
      </c>
      <c r="B15" s="5">
        <v>162830</v>
      </c>
      <c r="C15" s="5" t="s">
        <v>84</v>
      </c>
      <c r="D15" s="5" t="s">
        <v>54</v>
      </c>
      <c r="E15" s="5">
        <v>59</v>
      </c>
      <c r="F15" s="5">
        <v>94.08</v>
      </c>
      <c r="G15" s="5">
        <v>93.65</v>
      </c>
      <c r="H15" s="5">
        <v>429.999999999993</v>
      </c>
      <c r="I15" s="5">
        <v>10</v>
      </c>
      <c r="J15" s="5">
        <v>404</v>
      </c>
      <c r="K15" s="5">
        <v>19</v>
      </c>
      <c r="L15" s="5">
        <v>36.8</v>
      </c>
      <c r="M15" s="5">
        <v>21.6</v>
      </c>
      <c r="N15" s="5">
        <v>0</v>
      </c>
      <c r="O15" s="5">
        <v>1</v>
      </c>
      <c r="P15" s="5">
        <v>0</v>
      </c>
      <c r="Q15" s="5">
        <v>25</v>
      </c>
      <c r="R15" s="5" t="s">
        <v>97</v>
      </c>
      <c r="S15" s="5" t="s">
        <v>98</v>
      </c>
      <c r="T15" s="5" t="s">
        <v>57</v>
      </c>
      <c r="V15" s="5" t="s">
        <v>99</v>
      </c>
      <c r="W15" s="8">
        <v>0.69</v>
      </c>
      <c r="X15" s="8" t="s">
        <v>59</v>
      </c>
      <c r="Y15" s="8">
        <v>1.01</v>
      </c>
      <c r="Z15" s="8">
        <v>20</v>
      </c>
      <c r="AA15" s="8" t="s">
        <v>60</v>
      </c>
      <c r="AB15" s="8" t="s">
        <v>61</v>
      </c>
      <c r="AC15" s="8" t="s">
        <v>61</v>
      </c>
      <c r="AD15" s="8" t="s">
        <v>61</v>
      </c>
      <c r="AE15" s="8" t="s">
        <v>61</v>
      </c>
      <c r="AF15" s="8" t="s">
        <v>61</v>
      </c>
    </row>
    <row r="16" spans="1:32">
      <c r="A16" s="5" t="s">
        <v>52</v>
      </c>
      <c r="B16" s="5">
        <v>32554</v>
      </c>
      <c r="C16" s="5" t="s">
        <v>84</v>
      </c>
      <c r="D16" s="5" t="s">
        <v>54</v>
      </c>
      <c r="E16" s="5">
        <v>59</v>
      </c>
      <c r="F16" s="5">
        <v>90.6</v>
      </c>
      <c r="G16" s="5">
        <v>90.44</v>
      </c>
      <c r="H16" s="5">
        <v>159.999999999997</v>
      </c>
      <c r="I16" s="5">
        <v>5</v>
      </c>
      <c r="J16" s="5">
        <v>159</v>
      </c>
      <c r="K16" s="5">
        <v>18</v>
      </c>
      <c r="L16" s="5">
        <v>16.7</v>
      </c>
      <c r="M16" s="5">
        <v>8.7</v>
      </c>
      <c r="N16" s="5">
        <v>10</v>
      </c>
      <c r="O16" s="5">
        <v>23</v>
      </c>
      <c r="P16" s="5">
        <v>4</v>
      </c>
      <c r="Q16" s="5">
        <v>15</v>
      </c>
      <c r="R16" s="5" t="s">
        <v>100</v>
      </c>
      <c r="S16" s="5" t="s">
        <v>101</v>
      </c>
      <c r="T16" s="5" t="s">
        <v>57</v>
      </c>
      <c r="V16" s="5" t="s">
        <v>102</v>
      </c>
      <c r="W16" s="8">
        <v>5.88</v>
      </c>
      <c r="X16" s="11">
        <v>0.192</v>
      </c>
      <c r="Y16" s="8">
        <v>0.82</v>
      </c>
      <c r="Z16" s="8">
        <v>159</v>
      </c>
      <c r="AA16" s="8" t="s">
        <v>71</v>
      </c>
      <c r="AB16" s="8" t="s">
        <v>61</v>
      </c>
      <c r="AC16" s="8" t="s">
        <v>57</v>
      </c>
      <c r="AD16" s="8" t="s">
        <v>61</v>
      </c>
      <c r="AE16" s="8" t="s">
        <v>61</v>
      </c>
      <c r="AF16" s="8" t="s">
        <v>57</v>
      </c>
    </row>
    <row r="17" spans="1:32">
      <c r="A17" s="5" t="s">
        <v>52</v>
      </c>
      <c r="B17" s="5">
        <v>435298</v>
      </c>
      <c r="C17" s="5" t="s">
        <v>84</v>
      </c>
      <c r="D17" s="5" t="s">
        <v>54</v>
      </c>
      <c r="E17" s="5">
        <v>40</v>
      </c>
      <c r="F17" s="5">
        <v>110.5</v>
      </c>
      <c r="G17" s="5">
        <v>109.8</v>
      </c>
      <c r="H17" s="5">
        <v>700.000000000003</v>
      </c>
      <c r="I17" s="5">
        <v>24</v>
      </c>
      <c r="J17" s="5">
        <v>395</v>
      </c>
      <c r="K17" s="5">
        <v>31</v>
      </c>
      <c r="L17" s="5">
        <v>19.5</v>
      </c>
      <c r="M17" s="5">
        <v>12.7</v>
      </c>
      <c r="N17" s="5">
        <v>0</v>
      </c>
      <c r="O17" s="5">
        <v>1</v>
      </c>
      <c r="P17" s="5">
        <v>0</v>
      </c>
      <c r="Q17" s="5">
        <v>21</v>
      </c>
      <c r="R17" s="5" t="s">
        <v>103</v>
      </c>
      <c r="S17" s="5" t="s">
        <v>104</v>
      </c>
      <c r="T17" s="5" t="s">
        <v>57</v>
      </c>
      <c r="V17" s="5" t="s">
        <v>105</v>
      </c>
      <c r="W17" s="8">
        <v>1</v>
      </c>
      <c r="X17" s="8" t="s">
        <v>59</v>
      </c>
      <c r="Y17" s="8">
        <v>0.98</v>
      </c>
      <c r="Z17" s="8">
        <v>25</v>
      </c>
      <c r="AA17" s="8" t="s">
        <v>60</v>
      </c>
      <c r="AB17" s="8" t="s">
        <v>61</v>
      </c>
      <c r="AC17" s="8" t="s">
        <v>61</v>
      </c>
      <c r="AD17" s="8" t="s">
        <v>61</v>
      </c>
      <c r="AE17" s="8" t="s">
        <v>61</v>
      </c>
      <c r="AF17" s="8" t="s">
        <v>61</v>
      </c>
    </row>
    <row r="18" spans="1:32">
      <c r="A18" s="5" t="s">
        <v>52</v>
      </c>
      <c r="B18" s="5">
        <v>134409</v>
      </c>
      <c r="C18" s="5" t="s">
        <v>84</v>
      </c>
      <c r="D18" s="5" t="s">
        <v>54</v>
      </c>
      <c r="E18" s="5">
        <v>74</v>
      </c>
      <c r="F18" s="5">
        <v>75.39</v>
      </c>
      <c r="G18" s="5">
        <v>75.36</v>
      </c>
      <c r="H18" s="5">
        <v>30.0000000000011</v>
      </c>
      <c r="I18" s="5">
        <v>4</v>
      </c>
      <c r="J18" s="5">
        <v>24</v>
      </c>
      <c r="K18" s="5">
        <v>36</v>
      </c>
      <c r="L18" s="5">
        <v>1.9</v>
      </c>
      <c r="M18" s="5">
        <v>0.7</v>
      </c>
      <c r="N18" s="5">
        <v>16</v>
      </c>
      <c r="O18" s="5">
        <v>8</v>
      </c>
      <c r="P18" s="5">
        <v>5</v>
      </c>
      <c r="Q18" s="5">
        <v>5</v>
      </c>
      <c r="R18" s="5" t="s">
        <v>106</v>
      </c>
      <c r="S18" s="5" t="s">
        <v>107</v>
      </c>
      <c r="T18" s="5" t="s">
        <v>57</v>
      </c>
      <c r="V18" s="5" t="s">
        <v>108</v>
      </c>
      <c r="W18" s="8">
        <v>0.42</v>
      </c>
      <c r="X18" s="8" t="s">
        <v>59</v>
      </c>
      <c r="Y18" s="8">
        <v>1.57</v>
      </c>
      <c r="Z18" s="8">
        <v>15</v>
      </c>
      <c r="AA18" s="8" t="s">
        <v>60</v>
      </c>
      <c r="AB18" s="8" t="s">
        <v>61</v>
      </c>
      <c r="AC18" s="8" t="s">
        <v>57</v>
      </c>
      <c r="AD18" s="8" t="s">
        <v>61</v>
      </c>
      <c r="AE18" s="8" t="s">
        <v>57</v>
      </c>
      <c r="AF18" s="8" t="s">
        <v>61</v>
      </c>
    </row>
    <row r="19" s="4" customFormat="1" spans="1:22">
      <c r="A19" s="4" t="s">
        <v>52</v>
      </c>
      <c r="B19" s="4">
        <v>350189</v>
      </c>
      <c r="C19" s="4" t="s">
        <v>109</v>
      </c>
      <c r="D19" s="4" t="s">
        <v>54</v>
      </c>
      <c r="R19" s="4" t="s">
        <v>110</v>
      </c>
      <c r="S19" s="4" t="s">
        <v>111</v>
      </c>
      <c r="V19" s="4" t="s">
        <v>112</v>
      </c>
    </row>
    <row r="20" spans="1:32">
      <c r="A20" s="5" t="s">
        <v>52</v>
      </c>
      <c r="B20" s="5">
        <v>275665</v>
      </c>
      <c r="C20" s="5" t="s">
        <v>109</v>
      </c>
      <c r="D20" s="5" t="s">
        <v>54</v>
      </c>
      <c r="E20" s="5">
        <v>32</v>
      </c>
      <c r="F20" s="5">
        <v>86.52</v>
      </c>
      <c r="G20" s="5">
        <v>85.93</v>
      </c>
      <c r="H20" s="5">
        <v>589.999999999989</v>
      </c>
      <c r="I20" s="5">
        <v>29</v>
      </c>
      <c r="J20" s="5">
        <v>327</v>
      </c>
      <c r="K20" s="5">
        <v>35</v>
      </c>
      <c r="L20" s="5">
        <v>28</v>
      </c>
      <c r="M20" s="5">
        <v>9.3</v>
      </c>
      <c r="N20" s="5">
        <v>15</v>
      </c>
      <c r="O20" s="5">
        <v>3</v>
      </c>
      <c r="P20" s="5">
        <v>0</v>
      </c>
      <c r="Q20" s="5">
        <v>23</v>
      </c>
      <c r="R20" s="5" t="s">
        <v>113</v>
      </c>
      <c r="S20" s="5" t="s">
        <v>114</v>
      </c>
      <c r="T20" s="5" t="s">
        <v>57</v>
      </c>
      <c r="V20" s="5" t="s">
        <v>115</v>
      </c>
      <c r="W20" s="8">
        <v>0.5</v>
      </c>
      <c r="X20" s="8" t="s">
        <v>59</v>
      </c>
      <c r="Y20" s="8">
        <v>0.95</v>
      </c>
      <c r="Z20" s="8">
        <v>20</v>
      </c>
      <c r="AA20" s="8" t="s">
        <v>60</v>
      </c>
      <c r="AB20" s="8" t="s">
        <v>61</v>
      </c>
      <c r="AC20" s="8" t="s">
        <v>61</v>
      </c>
      <c r="AD20" s="8" t="s">
        <v>116</v>
      </c>
      <c r="AE20" s="8" t="s">
        <v>116</v>
      </c>
      <c r="AF20" s="8" t="s">
        <v>61</v>
      </c>
    </row>
    <row r="21" spans="1:32">
      <c r="A21" s="5" t="s">
        <v>52</v>
      </c>
      <c r="B21" s="5">
        <v>344730</v>
      </c>
      <c r="C21" s="5" t="s">
        <v>109</v>
      </c>
      <c r="D21" s="5" t="s">
        <v>54</v>
      </c>
      <c r="E21" s="5">
        <v>58</v>
      </c>
      <c r="F21" s="5">
        <v>82.7</v>
      </c>
      <c r="G21" s="5">
        <v>82.65</v>
      </c>
      <c r="H21" s="5">
        <v>49.9999999999972</v>
      </c>
      <c r="I21" s="5">
        <v>22</v>
      </c>
      <c r="J21" s="5">
        <v>71</v>
      </c>
      <c r="K21" s="5">
        <v>25</v>
      </c>
      <c r="L21" s="5">
        <v>4.6</v>
      </c>
      <c r="M21" s="5">
        <v>2.9</v>
      </c>
      <c r="N21" s="5">
        <v>58</v>
      </c>
      <c r="O21" s="5">
        <v>8</v>
      </c>
      <c r="P21" s="5">
        <v>2</v>
      </c>
      <c r="Q21" s="5">
        <v>25</v>
      </c>
      <c r="R21" s="5" t="s">
        <v>117</v>
      </c>
      <c r="S21" s="5" t="s">
        <v>118</v>
      </c>
      <c r="T21" s="5" t="s">
        <v>57</v>
      </c>
      <c r="V21" s="5" t="s">
        <v>119</v>
      </c>
      <c r="W21" s="8">
        <v>2</v>
      </c>
      <c r="X21" s="8" t="s">
        <v>120</v>
      </c>
      <c r="Y21" s="8">
        <v>1.1</v>
      </c>
      <c r="Z21" s="8">
        <v>70</v>
      </c>
      <c r="AA21" s="8" t="s">
        <v>60</v>
      </c>
      <c r="AB21" s="8" t="s">
        <v>61</v>
      </c>
      <c r="AC21" s="8" t="s">
        <v>61</v>
      </c>
      <c r="AD21" s="8" t="s">
        <v>116</v>
      </c>
      <c r="AE21" s="8" t="s">
        <v>116</v>
      </c>
      <c r="AF21" s="8" t="s">
        <v>61</v>
      </c>
    </row>
    <row r="22" spans="1:32">
      <c r="A22" s="5" t="s">
        <v>52</v>
      </c>
      <c r="B22" s="5">
        <v>493437</v>
      </c>
      <c r="C22" s="5" t="s">
        <v>109</v>
      </c>
      <c r="D22" s="5" t="s">
        <v>54</v>
      </c>
      <c r="E22" s="5">
        <v>71</v>
      </c>
      <c r="F22" s="5">
        <v>70.76</v>
      </c>
      <c r="G22" s="5">
        <v>70.72</v>
      </c>
      <c r="H22" s="5">
        <v>40.0000000000063</v>
      </c>
      <c r="I22" s="5">
        <v>7</v>
      </c>
      <c r="J22" s="5">
        <v>56</v>
      </c>
      <c r="K22" s="5">
        <v>16</v>
      </c>
      <c r="L22" s="5">
        <v>5.8</v>
      </c>
      <c r="M22" s="5">
        <v>3.5</v>
      </c>
      <c r="N22" s="5">
        <v>67</v>
      </c>
      <c r="O22" s="5">
        <v>19</v>
      </c>
      <c r="P22" s="5">
        <v>4</v>
      </c>
      <c r="Q22" s="5">
        <v>12</v>
      </c>
      <c r="R22" s="5" t="s">
        <v>121</v>
      </c>
      <c r="S22" s="5" t="s">
        <v>122</v>
      </c>
      <c r="T22" s="5" t="s">
        <v>57</v>
      </c>
      <c r="V22" s="5" t="s">
        <v>123</v>
      </c>
      <c r="W22" s="8">
        <v>0.35</v>
      </c>
      <c r="X22" s="8" t="s">
        <v>120</v>
      </c>
      <c r="Y22" s="8">
        <v>0.99</v>
      </c>
      <c r="Z22" s="8">
        <v>63</v>
      </c>
      <c r="AA22" s="8" t="s">
        <v>65</v>
      </c>
      <c r="AB22" s="8" t="s">
        <v>61</v>
      </c>
      <c r="AC22" s="8" t="s">
        <v>57</v>
      </c>
      <c r="AD22" s="8" t="s">
        <v>61</v>
      </c>
      <c r="AE22" s="8" t="s">
        <v>61</v>
      </c>
      <c r="AF22" s="8" t="s">
        <v>57</v>
      </c>
    </row>
    <row r="23" spans="1:32">
      <c r="A23" s="5" t="s">
        <v>52</v>
      </c>
      <c r="B23" s="5">
        <v>288375</v>
      </c>
      <c r="C23" s="5" t="s">
        <v>109</v>
      </c>
      <c r="D23" s="5" t="s">
        <v>54</v>
      </c>
      <c r="E23" s="5">
        <v>68</v>
      </c>
      <c r="F23" s="5">
        <v>72.31</v>
      </c>
      <c r="G23" s="5">
        <v>72.14</v>
      </c>
      <c r="H23" s="5">
        <v>170.000000000002</v>
      </c>
      <c r="I23" s="5">
        <v>21</v>
      </c>
      <c r="J23" s="5">
        <v>277</v>
      </c>
      <c r="K23" s="5">
        <v>73</v>
      </c>
      <c r="L23" s="5">
        <v>8.3</v>
      </c>
      <c r="M23" s="5">
        <v>3.8</v>
      </c>
      <c r="N23" s="5">
        <v>257</v>
      </c>
      <c r="O23" s="5">
        <v>10</v>
      </c>
      <c r="P23" s="5">
        <v>2</v>
      </c>
      <c r="Q23" s="5">
        <v>18</v>
      </c>
      <c r="R23" s="5" t="s">
        <v>55</v>
      </c>
      <c r="S23" s="5" t="s">
        <v>124</v>
      </c>
      <c r="T23" s="5" t="s">
        <v>57</v>
      </c>
      <c r="V23" s="5" t="s">
        <v>125</v>
      </c>
      <c r="W23" s="8">
        <v>0.34</v>
      </c>
      <c r="X23" s="8" t="s">
        <v>120</v>
      </c>
      <c r="Y23" s="8">
        <v>0.96</v>
      </c>
      <c r="Z23" s="8">
        <v>48</v>
      </c>
      <c r="AA23" s="8" t="s">
        <v>60</v>
      </c>
      <c r="AB23" s="8" t="s">
        <v>61</v>
      </c>
      <c r="AC23" s="8" t="s">
        <v>57</v>
      </c>
      <c r="AD23" s="8" t="s">
        <v>61</v>
      </c>
      <c r="AE23" s="8" t="s">
        <v>61</v>
      </c>
      <c r="AF23" s="8" t="s">
        <v>57</v>
      </c>
    </row>
    <row r="24" spans="1:32">
      <c r="A24" s="5" t="s">
        <v>52</v>
      </c>
      <c r="B24" s="5">
        <v>238188</v>
      </c>
      <c r="C24" s="5" t="s">
        <v>109</v>
      </c>
      <c r="D24" s="5" t="s">
        <v>54</v>
      </c>
      <c r="E24" s="5">
        <v>88</v>
      </c>
      <c r="F24" s="5">
        <v>66.4</v>
      </c>
      <c r="G24" s="5">
        <v>66.21</v>
      </c>
      <c r="H24" s="5">
        <v>190.000000000012</v>
      </c>
      <c r="I24" s="5">
        <v>5</v>
      </c>
      <c r="J24" s="5">
        <v>157</v>
      </c>
      <c r="K24" s="5">
        <v>44</v>
      </c>
      <c r="L24" s="5">
        <v>8.8</v>
      </c>
      <c r="M24" s="5">
        <v>3.5</v>
      </c>
      <c r="N24" s="5">
        <v>14</v>
      </c>
      <c r="O24" s="5">
        <v>8</v>
      </c>
      <c r="P24" s="5">
        <v>3</v>
      </c>
      <c r="Q24" s="5">
        <v>5</v>
      </c>
      <c r="R24" s="5" t="s">
        <v>126</v>
      </c>
      <c r="S24" s="5" t="s">
        <v>127</v>
      </c>
      <c r="T24" s="5" t="s">
        <v>57</v>
      </c>
      <c r="V24" s="5" t="s">
        <v>128</v>
      </c>
      <c r="W24" s="8">
        <v>4</v>
      </c>
      <c r="X24" s="8" t="s">
        <v>59</v>
      </c>
      <c r="Y24" s="8">
        <v>1.29</v>
      </c>
      <c r="Z24" s="8">
        <v>57</v>
      </c>
      <c r="AA24" s="8" t="s">
        <v>71</v>
      </c>
      <c r="AB24" s="8" t="s">
        <v>61</v>
      </c>
      <c r="AC24" s="8" t="s">
        <v>57</v>
      </c>
      <c r="AD24" s="8" t="s">
        <v>57</v>
      </c>
      <c r="AE24" s="8" t="s">
        <v>57</v>
      </c>
      <c r="AF24" s="8" t="s">
        <v>61</v>
      </c>
    </row>
    <row r="25" spans="1:32">
      <c r="A25" s="5" t="s">
        <v>52</v>
      </c>
      <c r="B25" s="5">
        <v>49853</v>
      </c>
      <c r="C25" s="5" t="s">
        <v>129</v>
      </c>
      <c r="D25" s="5" t="s">
        <v>54</v>
      </c>
      <c r="E25" s="8">
        <v>81</v>
      </c>
      <c r="F25" s="8">
        <v>75.2</v>
      </c>
      <c r="G25" s="8">
        <v>75.07</v>
      </c>
      <c r="H25" s="8">
        <f t="shared" ref="H25" si="0">(F25-G25)*1000</f>
        <v>130.00000000001</v>
      </c>
      <c r="I25" s="8">
        <v>11</v>
      </c>
      <c r="J25" s="8">
        <v>270</v>
      </c>
      <c r="K25" s="8">
        <v>20</v>
      </c>
      <c r="L25" s="8">
        <v>10.9</v>
      </c>
      <c r="M25" s="8">
        <v>6.2</v>
      </c>
      <c r="N25" s="8">
        <v>0</v>
      </c>
      <c r="O25" s="8">
        <v>34</v>
      </c>
      <c r="P25" s="8">
        <v>5</v>
      </c>
      <c r="Q25" s="8">
        <v>6</v>
      </c>
      <c r="R25" s="8" t="s">
        <v>130</v>
      </c>
      <c r="S25" s="8" t="s">
        <v>131</v>
      </c>
      <c r="T25" s="8" t="s">
        <v>57</v>
      </c>
      <c r="V25" s="5" t="s">
        <v>132</v>
      </c>
      <c r="W25" s="8">
        <v>0.93</v>
      </c>
      <c r="X25" s="8" t="s">
        <v>59</v>
      </c>
      <c r="Y25" s="8">
        <v>0.94</v>
      </c>
      <c r="Z25" s="8">
        <v>15</v>
      </c>
      <c r="AA25" s="8" t="s">
        <v>60</v>
      </c>
      <c r="AB25" s="8" t="s">
        <v>61</v>
      </c>
      <c r="AC25" s="8" t="s">
        <v>61</v>
      </c>
      <c r="AD25" s="8" t="s">
        <v>61</v>
      </c>
      <c r="AE25" s="8" t="s">
        <v>61</v>
      </c>
      <c r="AF25" s="8" t="s">
        <v>61</v>
      </c>
    </row>
    <row r="26" spans="1:32">
      <c r="A26" s="5" t="s">
        <v>52</v>
      </c>
      <c r="B26" s="5">
        <v>234200</v>
      </c>
      <c r="C26" s="5" t="s">
        <v>133</v>
      </c>
      <c r="D26" s="5" t="s">
        <v>54</v>
      </c>
      <c r="E26" s="5">
        <v>78</v>
      </c>
      <c r="F26" s="5">
        <v>97.65</v>
      </c>
      <c r="G26" s="5">
        <v>97.18</v>
      </c>
      <c r="H26" s="5">
        <v>469.999999999999</v>
      </c>
      <c r="I26" s="5">
        <v>1</v>
      </c>
      <c r="J26" s="5">
        <v>46</v>
      </c>
      <c r="K26" s="5">
        <v>22</v>
      </c>
      <c r="L26" s="5">
        <v>9.3</v>
      </c>
      <c r="M26" s="5">
        <v>2.1</v>
      </c>
      <c r="N26" s="5">
        <v>0</v>
      </c>
      <c r="O26" s="5">
        <v>11</v>
      </c>
      <c r="P26" s="5">
        <v>0</v>
      </c>
      <c r="Q26" s="5">
        <v>9</v>
      </c>
      <c r="R26" s="5" t="s">
        <v>134</v>
      </c>
      <c r="S26" s="5" t="s">
        <v>135</v>
      </c>
      <c r="T26" s="5" t="s">
        <v>57</v>
      </c>
      <c r="V26" s="5" t="s">
        <v>136</v>
      </c>
      <c r="W26" s="8">
        <v>0.49</v>
      </c>
      <c r="X26" s="8" t="s">
        <v>59</v>
      </c>
      <c r="Y26" s="8">
        <v>0.93</v>
      </c>
      <c r="Z26" s="8">
        <v>32</v>
      </c>
      <c r="AA26" s="8" t="s">
        <v>71</v>
      </c>
      <c r="AB26" s="8" t="s">
        <v>61</v>
      </c>
      <c r="AC26" s="8" t="s">
        <v>57</v>
      </c>
      <c r="AD26" s="8" t="s">
        <v>61</v>
      </c>
      <c r="AE26" s="8" t="s">
        <v>61</v>
      </c>
      <c r="AF26" s="8" t="s">
        <v>57</v>
      </c>
    </row>
    <row r="27" spans="1:32">
      <c r="A27" s="5" t="s">
        <v>52</v>
      </c>
      <c r="B27" s="5">
        <v>61918</v>
      </c>
      <c r="C27" s="5" t="s">
        <v>133</v>
      </c>
      <c r="D27" s="5" t="s">
        <v>54</v>
      </c>
      <c r="E27" s="5">
        <v>72</v>
      </c>
      <c r="F27" s="5">
        <v>72.45</v>
      </c>
      <c r="G27" s="5">
        <v>72.38</v>
      </c>
      <c r="H27" s="5">
        <v>70.0000000000074</v>
      </c>
      <c r="I27" s="5">
        <v>1</v>
      </c>
      <c r="J27" s="5">
        <v>68</v>
      </c>
      <c r="K27" s="5">
        <v>38</v>
      </c>
      <c r="L27" s="5">
        <v>4.1</v>
      </c>
      <c r="M27" s="5">
        <v>1.8</v>
      </c>
      <c r="N27" s="5">
        <v>39</v>
      </c>
      <c r="O27" s="5">
        <v>14</v>
      </c>
      <c r="P27" s="5">
        <v>0</v>
      </c>
      <c r="Q27" s="5">
        <v>12</v>
      </c>
      <c r="R27" s="5" t="s">
        <v>137</v>
      </c>
      <c r="S27" s="5" t="s">
        <v>138</v>
      </c>
      <c r="T27" s="5" t="s">
        <v>57</v>
      </c>
      <c r="V27" s="5" t="s">
        <v>139</v>
      </c>
      <c r="W27" s="8">
        <v>1.8</v>
      </c>
      <c r="X27" s="8" t="s">
        <v>120</v>
      </c>
      <c r="Y27" s="8">
        <v>1.1</v>
      </c>
      <c r="Z27" s="8">
        <v>69</v>
      </c>
      <c r="AA27" s="8" t="s">
        <v>65</v>
      </c>
      <c r="AB27" s="8" t="s">
        <v>61</v>
      </c>
      <c r="AC27" s="8" t="s">
        <v>57</v>
      </c>
      <c r="AD27" s="8" t="s">
        <v>57</v>
      </c>
      <c r="AE27" s="8" t="s">
        <v>57</v>
      </c>
      <c r="AF27" s="8" t="s">
        <v>61</v>
      </c>
    </row>
    <row r="28" spans="1:32">
      <c r="A28" s="5" t="s">
        <v>52</v>
      </c>
      <c r="B28" s="5">
        <v>475518</v>
      </c>
      <c r="C28" s="5" t="s">
        <v>133</v>
      </c>
      <c r="D28" s="5" t="s">
        <v>54</v>
      </c>
      <c r="E28" s="5">
        <v>62</v>
      </c>
      <c r="F28" s="5">
        <v>100.16</v>
      </c>
      <c r="G28" s="5">
        <v>99.82</v>
      </c>
      <c r="H28" s="5">
        <v>340.000000000003</v>
      </c>
      <c r="I28" s="5">
        <v>15</v>
      </c>
      <c r="J28" s="5">
        <v>328</v>
      </c>
      <c r="K28" s="5">
        <v>35</v>
      </c>
      <c r="L28" s="5">
        <v>16.9</v>
      </c>
      <c r="M28" s="5">
        <v>9.4</v>
      </c>
      <c r="N28" s="5">
        <v>19</v>
      </c>
      <c r="O28" s="5">
        <v>18</v>
      </c>
      <c r="P28" s="5">
        <v>4</v>
      </c>
      <c r="Q28" s="5">
        <v>9</v>
      </c>
      <c r="R28" s="5" t="s">
        <v>140</v>
      </c>
      <c r="S28" s="5" t="s">
        <v>141</v>
      </c>
      <c r="T28" s="5" t="s">
        <v>57</v>
      </c>
      <c r="V28" s="5" t="s">
        <v>142</v>
      </c>
      <c r="W28" s="8">
        <v>1.27</v>
      </c>
      <c r="X28" s="8" t="s">
        <v>59</v>
      </c>
      <c r="Y28" s="8">
        <v>0.81</v>
      </c>
      <c r="Z28" s="8">
        <v>77</v>
      </c>
      <c r="AA28" s="8" t="s">
        <v>65</v>
      </c>
      <c r="AB28" s="8" t="s">
        <v>61</v>
      </c>
      <c r="AC28" s="8" t="s">
        <v>61</v>
      </c>
      <c r="AD28" s="8" t="s">
        <v>61</v>
      </c>
      <c r="AE28" s="8" t="s">
        <v>61</v>
      </c>
      <c r="AF28" s="8" t="s">
        <v>61</v>
      </c>
    </row>
    <row r="29" spans="1:32">
      <c r="A29" s="5" t="s">
        <v>52</v>
      </c>
      <c r="B29" s="5">
        <v>469580</v>
      </c>
      <c r="C29" s="5" t="s">
        <v>133</v>
      </c>
      <c r="D29" s="5" t="s">
        <v>54</v>
      </c>
      <c r="E29" s="5">
        <v>56</v>
      </c>
      <c r="F29" s="5">
        <v>100.97</v>
      </c>
      <c r="G29" s="5">
        <v>100.22</v>
      </c>
      <c r="H29" s="5">
        <v>750</v>
      </c>
      <c r="I29" s="5">
        <v>7</v>
      </c>
      <c r="J29" s="5">
        <v>168</v>
      </c>
      <c r="K29" s="5">
        <v>33</v>
      </c>
      <c r="L29" s="5">
        <v>10.5</v>
      </c>
      <c r="M29" s="5">
        <v>5.2</v>
      </c>
      <c r="N29" s="5">
        <v>88</v>
      </c>
      <c r="O29" s="5">
        <v>1</v>
      </c>
      <c r="P29" s="5">
        <v>2</v>
      </c>
      <c r="Q29" s="5">
        <v>25</v>
      </c>
      <c r="R29" s="5" t="s">
        <v>143</v>
      </c>
      <c r="S29" s="5" t="s">
        <v>144</v>
      </c>
      <c r="T29" s="5" t="s">
        <v>57</v>
      </c>
      <c r="V29" s="5" t="s">
        <v>145</v>
      </c>
      <c r="W29" s="8">
        <v>7.2</v>
      </c>
      <c r="X29" s="11">
        <v>0.199</v>
      </c>
      <c r="Y29" s="8">
        <v>0.8</v>
      </c>
      <c r="Z29" s="8">
        <v>73</v>
      </c>
      <c r="AA29" s="8" t="s">
        <v>71</v>
      </c>
      <c r="AB29" s="8" t="s">
        <v>61</v>
      </c>
      <c r="AC29" s="8" t="s">
        <v>57</v>
      </c>
      <c r="AD29" s="8" t="s">
        <v>57</v>
      </c>
      <c r="AE29" s="8" t="s">
        <v>61</v>
      </c>
      <c r="AF29" s="8" t="s">
        <v>61</v>
      </c>
    </row>
    <row r="30" spans="1:32">
      <c r="A30" s="5" t="s">
        <v>52</v>
      </c>
      <c r="B30" s="5">
        <v>91271</v>
      </c>
      <c r="C30" s="5" t="s">
        <v>133</v>
      </c>
      <c r="D30" s="5" t="s">
        <v>54</v>
      </c>
      <c r="E30" s="5">
        <v>69</v>
      </c>
      <c r="F30" s="5">
        <v>96.2</v>
      </c>
      <c r="G30" s="5">
        <v>96.08</v>
      </c>
      <c r="H30" s="5">
        <v>120.000000000005</v>
      </c>
      <c r="I30" s="5">
        <v>1</v>
      </c>
      <c r="J30" s="5">
        <v>41</v>
      </c>
      <c r="K30" s="5">
        <v>20</v>
      </c>
      <c r="L30" s="5">
        <v>10.5</v>
      </c>
      <c r="M30" s="5">
        <v>2.1</v>
      </c>
      <c r="N30" s="5">
        <v>157</v>
      </c>
      <c r="O30" s="5">
        <v>14</v>
      </c>
      <c r="P30" s="5">
        <v>2</v>
      </c>
      <c r="Q30" s="5">
        <v>9</v>
      </c>
      <c r="R30" s="5" t="s">
        <v>146</v>
      </c>
      <c r="S30" s="5" t="s">
        <v>147</v>
      </c>
      <c r="T30" s="5" t="s">
        <v>57</v>
      </c>
      <c r="U30" s="5" t="s">
        <v>148</v>
      </c>
      <c r="V30" s="5" t="s">
        <v>149</v>
      </c>
      <c r="W30" s="8">
        <v>1.1</v>
      </c>
      <c r="X30" s="8" t="s">
        <v>59</v>
      </c>
      <c r="Y30" s="8">
        <v>0.95</v>
      </c>
      <c r="Z30" s="8">
        <v>65.8</v>
      </c>
      <c r="AA30" s="8" t="s">
        <v>60</v>
      </c>
      <c r="AB30" s="8" t="s">
        <v>61</v>
      </c>
      <c r="AC30" s="8" t="s">
        <v>61</v>
      </c>
      <c r="AD30" s="8" t="s">
        <v>61</v>
      </c>
      <c r="AE30" s="8" t="s">
        <v>57</v>
      </c>
      <c r="AF30" s="8" t="s">
        <v>61</v>
      </c>
    </row>
    <row r="31" spans="1:32">
      <c r="A31" s="5" t="s">
        <v>52</v>
      </c>
      <c r="B31" s="5">
        <v>299847</v>
      </c>
      <c r="C31" s="5" t="s">
        <v>133</v>
      </c>
      <c r="D31" s="5" t="s">
        <v>54</v>
      </c>
      <c r="E31" s="5">
        <v>78</v>
      </c>
      <c r="F31" s="5">
        <v>81.34</v>
      </c>
      <c r="G31" s="5">
        <v>81.13</v>
      </c>
      <c r="H31" s="5">
        <v>210.000000000008</v>
      </c>
      <c r="I31" s="5">
        <v>8</v>
      </c>
      <c r="J31" s="5">
        <v>205</v>
      </c>
      <c r="K31" s="5">
        <v>36</v>
      </c>
      <c r="L31" s="5">
        <v>9.7</v>
      </c>
      <c r="M31" s="5">
        <v>5.7</v>
      </c>
      <c r="N31" s="5">
        <v>92</v>
      </c>
      <c r="O31" s="5">
        <v>12</v>
      </c>
      <c r="P31" s="5">
        <v>2</v>
      </c>
      <c r="Q31" s="5">
        <v>9</v>
      </c>
      <c r="R31" s="5" t="s">
        <v>150</v>
      </c>
      <c r="S31" s="5" t="s">
        <v>151</v>
      </c>
      <c r="T31" s="5" t="s">
        <v>57</v>
      </c>
      <c r="U31" s="5" t="s">
        <v>152</v>
      </c>
      <c r="V31" s="5" t="s">
        <v>153</v>
      </c>
      <c r="W31" s="8">
        <v>8.61</v>
      </c>
      <c r="X31" s="12">
        <v>0.33</v>
      </c>
      <c r="Y31" s="8">
        <v>1</v>
      </c>
      <c r="Z31" s="8">
        <v>188</v>
      </c>
      <c r="AA31" s="8" t="s">
        <v>154</v>
      </c>
      <c r="AB31" s="8" t="s">
        <v>61</v>
      </c>
      <c r="AC31" s="8" t="s">
        <v>57</v>
      </c>
      <c r="AD31" s="8" t="s">
        <v>57</v>
      </c>
      <c r="AE31" s="8" t="s">
        <v>61</v>
      </c>
      <c r="AF31" s="8" t="s">
        <v>61</v>
      </c>
    </row>
    <row r="32" spans="1:32">
      <c r="A32" s="5" t="s">
        <v>52</v>
      </c>
      <c r="B32" s="5">
        <v>171402</v>
      </c>
      <c r="C32" s="5" t="s">
        <v>133</v>
      </c>
      <c r="D32" s="5" t="s">
        <v>54</v>
      </c>
      <c r="E32" s="5">
        <v>42</v>
      </c>
      <c r="F32" s="5">
        <v>69.96</v>
      </c>
      <c r="G32" s="5">
        <v>69.53</v>
      </c>
      <c r="H32" s="5">
        <v>429.999999999993</v>
      </c>
      <c r="I32" s="5">
        <v>22</v>
      </c>
      <c r="J32" s="5">
        <v>419</v>
      </c>
      <c r="K32" s="5">
        <v>99</v>
      </c>
      <c r="L32" s="5">
        <v>8</v>
      </c>
      <c r="M32" s="5">
        <v>4.2</v>
      </c>
      <c r="N32" s="5">
        <v>100</v>
      </c>
      <c r="O32" s="5">
        <v>16</v>
      </c>
      <c r="P32" s="5">
        <v>4</v>
      </c>
      <c r="Q32" s="5">
        <v>23</v>
      </c>
      <c r="R32" s="5" t="s">
        <v>155</v>
      </c>
      <c r="S32" s="5" t="s">
        <v>156</v>
      </c>
      <c r="T32" s="5" t="s">
        <v>57</v>
      </c>
      <c r="V32" s="5" t="s">
        <v>157</v>
      </c>
      <c r="W32" s="8">
        <v>0.43</v>
      </c>
      <c r="X32" s="8" t="s">
        <v>59</v>
      </c>
      <c r="Y32" s="8">
        <v>0.89</v>
      </c>
      <c r="Z32" s="8">
        <v>17</v>
      </c>
      <c r="AA32" s="8" t="s">
        <v>60</v>
      </c>
      <c r="AB32" s="8" t="s">
        <v>61</v>
      </c>
      <c r="AC32" s="8" t="s">
        <v>61</v>
      </c>
      <c r="AD32" s="8" t="s">
        <v>61</v>
      </c>
      <c r="AE32" s="8" t="s">
        <v>61</v>
      </c>
      <c r="AF32" s="8" t="s">
        <v>61</v>
      </c>
    </row>
    <row r="33" spans="1:32">
      <c r="A33" s="5" t="s">
        <v>52</v>
      </c>
      <c r="B33" s="5">
        <v>406336</v>
      </c>
      <c r="C33" s="5" t="s">
        <v>158</v>
      </c>
      <c r="D33" s="5" t="s">
        <v>54</v>
      </c>
      <c r="E33" s="5">
        <v>56</v>
      </c>
      <c r="F33" s="5">
        <v>108.88</v>
      </c>
      <c r="G33" s="5">
        <v>108.84</v>
      </c>
      <c r="H33" s="5">
        <v>39.999999999992</v>
      </c>
      <c r="I33" s="5">
        <v>7</v>
      </c>
      <c r="J33" s="5">
        <v>33</v>
      </c>
      <c r="K33" s="5">
        <v>37</v>
      </c>
      <c r="L33" s="5">
        <v>1.7</v>
      </c>
      <c r="M33" s="5">
        <v>0.9</v>
      </c>
      <c r="N33" s="5">
        <v>200</v>
      </c>
      <c r="O33" s="5">
        <v>29</v>
      </c>
      <c r="P33" s="5">
        <v>5</v>
      </c>
      <c r="Q33" s="5">
        <v>10</v>
      </c>
      <c r="R33" s="5" t="s">
        <v>55</v>
      </c>
      <c r="S33" s="5" t="s">
        <v>159</v>
      </c>
      <c r="T33" s="5" t="s">
        <v>57</v>
      </c>
      <c r="V33" s="5" t="s">
        <v>160</v>
      </c>
      <c r="W33" s="8">
        <v>5.27</v>
      </c>
      <c r="X33" s="11">
        <v>0.144</v>
      </c>
      <c r="Y33" s="8">
        <v>1.05</v>
      </c>
      <c r="Z33" s="8">
        <v>205</v>
      </c>
      <c r="AA33" s="8" t="s">
        <v>68</v>
      </c>
      <c r="AB33" s="8" t="s">
        <v>161</v>
      </c>
      <c r="AC33" s="8" t="s">
        <v>57</v>
      </c>
      <c r="AD33" s="8" t="s">
        <v>61</v>
      </c>
      <c r="AE33" s="8" t="s">
        <v>61</v>
      </c>
      <c r="AF33" s="8" t="s">
        <v>57</v>
      </c>
    </row>
    <row r="34" spans="1:32">
      <c r="A34" s="5" t="s">
        <v>52</v>
      </c>
      <c r="B34" s="5">
        <v>164881</v>
      </c>
      <c r="C34" s="5" t="s">
        <v>158</v>
      </c>
      <c r="D34" s="5" t="s">
        <v>54</v>
      </c>
      <c r="E34" s="5">
        <v>61</v>
      </c>
      <c r="F34" s="5">
        <v>88.81</v>
      </c>
      <c r="G34" s="5">
        <v>88.67</v>
      </c>
      <c r="H34" s="5">
        <v>140.000000000001</v>
      </c>
      <c r="I34" s="5">
        <v>28</v>
      </c>
      <c r="J34" s="5">
        <v>136</v>
      </c>
      <c r="K34" s="5">
        <v>76</v>
      </c>
      <c r="L34" s="5">
        <v>5.2</v>
      </c>
      <c r="M34" s="5">
        <v>1.8</v>
      </c>
      <c r="N34" s="5">
        <v>0</v>
      </c>
      <c r="O34" s="5">
        <v>16</v>
      </c>
      <c r="P34" s="5">
        <v>2</v>
      </c>
      <c r="Q34" s="5">
        <v>24</v>
      </c>
      <c r="R34" s="5" t="s">
        <v>162</v>
      </c>
      <c r="S34" s="5" t="s">
        <v>163</v>
      </c>
      <c r="T34" s="5" t="s">
        <v>57</v>
      </c>
      <c r="V34" s="5" t="s">
        <v>164</v>
      </c>
      <c r="W34" s="8">
        <v>1.49</v>
      </c>
      <c r="X34" s="8" t="s">
        <v>59</v>
      </c>
      <c r="Y34" s="8">
        <v>0.89</v>
      </c>
      <c r="Z34" s="8">
        <v>33</v>
      </c>
      <c r="AA34" s="8" t="s">
        <v>165</v>
      </c>
      <c r="AB34" s="8" t="s">
        <v>61</v>
      </c>
      <c r="AC34" s="8" t="s">
        <v>57</v>
      </c>
      <c r="AD34" s="8" t="s">
        <v>61</v>
      </c>
      <c r="AE34" s="8" t="s">
        <v>61</v>
      </c>
      <c r="AF34" s="8" t="s">
        <v>57</v>
      </c>
    </row>
    <row r="35" s="4" customFormat="1" spans="1:22">
      <c r="A35" s="4" t="s">
        <v>52</v>
      </c>
      <c r="B35" s="4">
        <v>271428</v>
      </c>
      <c r="C35" s="4" t="s">
        <v>158</v>
      </c>
      <c r="D35" s="4" t="s">
        <v>54</v>
      </c>
      <c r="E35" s="4">
        <v>63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 t="s">
        <v>57</v>
      </c>
      <c r="U35" s="4" t="s">
        <v>148</v>
      </c>
      <c r="V35" s="4" t="s">
        <v>166</v>
      </c>
    </row>
    <row r="36" spans="1:32">
      <c r="A36" s="5" t="s">
        <v>52</v>
      </c>
      <c r="B36" s="5">
        <v>230543</v>
      </c>
      <c r="C36" s="5" t="s">
        <v>158</v>
      </c>
      <c r="D36" s="5" t="s">
        <v>54</v>
      </c>
      <c r="E36" s="5">
        <v>51</v>
      </c>
      <c r="F36" s="5">
        <v>74.54</v>
      </c>
      <c r="G36" s="5">
        <v>74.2</v>
      </c>
      <c r="H36" s="5">
        <v>340.000000000003</v>
      </c>
      <c r="I36" s="5">
        <v>5</v>
      </c>
      <c r="J36" s="5">
        <v>310</v>
      </c>
      <c r="K36" s="5">
        <v>12</v>
      </c>
      <c r="L36" s="5">
        <v>49.9</v>
      </c>
      <c r="M36" s="5">
        <v>27</v>
      </c>
      <c r="N36" s="5">
        <v>41</v>
      </c>
      <c r="O36" s="5">
        <v>1</v>
      </c>
      <c r="P36" s="5">
        <v>0</v>
      </c>
      <c r="Q36" s="5">
        <v>17</v>
      </c>
      <c r="R36" s="5" t="s">
        <v>167</v>
      </c>
      <c r="S36" s="5" t="s">
        <v>168</v>
      </c>
      <c r="T36" s="5" t="s">
        <v>57</v>
      </c>
      <c r="V36" s="5" t="s">
        <v>169</v>
      </c>
      <c r="W36" s="8">
        <v>0.41</v>
      </c>
      <c r="X36" s="8" t="s">
        <v>59</v>
      </c>
      <c r="Y36" s="8">
        <v>0.83</v>
      </c>
      <c r="Z36" s="8">
        <v>50</v>
      </c>
      <c r="AA36" s="8" t="s">
        <v>71</v>
      </c>
      <c r="AB36" s="8" t="s">
        <v>61</v>
      </c>
      <c r="AC36" s="8" t="s">
        <v>61</v>
      </c>
      <c r="AD36" s="8" t="s">
        <v>61</v>
      </c>
      <c r="AE36" s="8" t="s">
        <v>61</v>
      </c>
      <c r="AF36" s="8" t="s">
        <v>61</v>
      </c>
    </row>
    <row r="37" spans="1:32">
      <c r="A37" s="5" t="s">
        <v>52</v>
      </c>
      <c r="B37" s="5">
        <v>376222</v>
      </c>
      <c r="C37" s="5" t="s">
        <v>158</v>
      </c>
      <c r="D37" s="5" t="s">
        <v>54</v>
      </c>
      <c r="E37" s="5">
        <v>75</v>
      </c>
      <c r="F37" s="5">
        <v>97.11</v>
      </c>
      <c r="G37" s="5">
        <v>96.62</v>
      </c>
      <c r="H37" s="5">
        <v>489.999999999995</v>
      </c>
      <c r="I37" s="5">
        <v>8</v>
      </c>
      <c r="J37" s="5">
        <v>314</v>
      </c>
      <c r="K37" s="5">
        <v>31</v>
      </c>
      <c r="L37" s="5">
        <v>12.1</v>
      </c>
      <c r="M37" s="5">
        <v>10.1</v>
      </c>
      <c r="N37" s="5">
        <v>400</v>
      </c>
      <c r="O37" s="5">
        <v>12</v>
      </c>
      <c r="P37" s="5">
        <v>2</v>
      </c>
      <c r="Q37" s="5">
        <v>5</v>
      </c>
      <c r="R37" s="5" t="s">
        <v>170</v>
      </c>
      <c r="S37" s="5" t="s">
        <v>171</v>
      </c>
      <c r="T37" s="5" t="s">
        <v>57</v>
      </c>
      <c r="V37" s="5" t="s">
        <v>172</v>
      </c>
      <c r="W37" s="8" t="s">
        <v>173</v>
      </c>
      <c r="X37" s="8" t="s">
        <v>120</v>
      </c>
      <c r="Y37" s="8">
        <v>1.02</v>
      </c>
      <c r="Z37" s="8">
        <v>140</v>
      </c>
      <c r="AA37" s="8" t="s">
        <v>154</v>
      </c>
      <c r="AB37" s="8" t="s">
        <v>61</v>
      </c>
      <c r="AC37" s="8" t="s">
        <v>57</v>
      </c>
      <c r="AD37" s="8" t="s">
        <v>57</v>
      </c>
      <c r="AE37" s="8" t="s">
        <v>61</v>
      </c>
      <c r="AF37" s="8" t="s">
        <v>61</v>
      </c>
    </row>
    <row r="38" spans="1:32">
      <c r="A38" s="5" t="s">
        <v>52</v>
      </c>
      <c r="B38" s="5">
        <v>86301</v>
      </c>
      <c r="C38" s="5" t="s">
        <v>158</v>
      </c>
      <c r="D38" s="5" t="s">
        <v>54</v>
      </c>
      <c r="E38" s="5">
        <v>76</v>
      </c>
      <c r="F38" s="5">
        <v>93.92</v>
      </c>
      <c r="G38" s="5">
        <v>93.64</v>
      </c>
      <c r="H38" s="5">
        <v>280.000000000001</v>
      </c>
      <c r="I38" s="5">
        <v>12</v>
      </c>
      <c r="J38" s="5">
        <v>283</v>
      </c>
      <c r="K38" s="5">
        <v>46</v>
      </c>
      <c r="L38" s="5">
        <v>12.2</v>
      </c>
      <c r="M38" s="5">
        <v>6.1</v>
      </c>
      <c r="N38" s="5">
        <v>44</v>
      </c>
      <c r="O38" s="5">
        <v>8</v>
      </c>
      <c r="P38" s="5">
        <v>1</v>
      </c>
      <c r="Q38" s="5">
        <v>5</v>
      </c>
      <c r="R38" s="5" t="s">
        <v>174</v>
      </c>
      <c r="S38" s="5" t="s">
        <v>175</v>
      </c>
      <c r="T38" s="5" t="s">
        <v>57</v>
      </c>
      <c r="V38" s="5" t="s">
        <v>176</v>
      </c>
      <c r="W38" s="8">
        <v>2.65</v>
      </c>
      <c r="X38" s="8" t="s">
        <v>59</v>
      </c>
      <c r="Y38" s="8">
        <v>1.38</v>
      </c>
      <c r="Z38" s="8">
        <v>13</v>
      </c>
      <c r="AA38" s="8" t="s">
        <v>60</v>
      </c>
      <c r="AB38" s="8" t="s">
        <v>61</v>
      </c>
      <c r="AC38" s="8" t="s">
        <v>61</v>
      </c>
      <c r="AD38" s="8" t="s">
        <v>61</v>
      </c>
      <c r="AE38" s="8" t="s">
        <v>57</v>
      </c>
      <c r="AF38" s="8" t="s">
        <v>61</v>
      </c>
    </row>
    <row r="39" spans="1:32">
      <c r="A39" s="5" t="s">
        <v>52</v>
      </c>
      <c r="B39" s="5">
        <v>53669</v>
      </c>
      <c r="C39" s="5" t="s">
        <v>158</v>
      </c>
      <c r="D39" s="5" t="s">
        <v>54</v>
      </c>
      <c r="E39" s="5">
        <v>56</v>
      </c>
      <c r="F39" s="5">
        <v>87.56</v>
      </c>
      <c r="G39" s="5">
        <v>87.4</v>
      </c>
      <c r="H39" s="5">
        <v>159.999999999997</v>
      </c>
      <c r="I39" s="5">
        <v>26</v>
      </c>
      <c r="J39" s="5">
        <v>137</v>
      </c>
      <c r="K39" s="5">
        <v>30</v>
      </c>
      <c r="L39" s="5">
        <v>10.7</v>
      </c>
      <c r="M39" s="5">
        <v>4.6</v>
      </c>
      <c r="N39" s="5">
        <v>370</v>
      </c>
      <c r="O39" s="5">
        <v>12</v>
      </c>
      <c r="P39" s="5">
        <v>4</v>
      </c>
      <c r="Q39" s="5">
        <v>19</v>
      </c>
      <c r="R39" s="5" t="s">
        <v>177</v>
      </c>
      <c r="S39" s="5" t="s">
        <v>178</v>
      </c>
      <c r="T39" s="5" t="s">
        <v>57</v>
      </c>
      <c r="U39" s="5" t="s">
        <v>148</v>
      </c>
      <c r="V39" s="5" t="s">
        <v>179</v>
      </c>
      <c r="W39" s="8">
        <v>0.67</v>
      </c>
      <c r="X39" s="8" t="s">
        <v>59</v>
      </c>
      <c r="Y39" s="8">
        <v>0.75</v>
      </c>
      <c r="Z39" s="8">
        <v>10</v>
      </c>
      <c r="AA39" s="8" t="s">
        <v>60</v>
      </c>
      <c r="AB39" s="8" t="s">
        <v>61</v>
      </c>
      <c r="AC39" s="8" t="s">
        <v>57</v>
      </c>
      <c r="AD39" s="8" t="s">
        <v>61</v>
      </c>
      <c r="AE39" s="8" t="s">
        <v>61</v>
      </c>
      <c r="AF39" s="8" t="s">
        <v>61</v>
      </c>
    </row>
    <row r="40" s="4" customFormat="1" spans="1:22">
      <c r="A40" s="4" t="s">
        <v>52</v>
      </c>
      <c r="B40" s="4">
        <v>236415</v>
      </c>
      <c r="C40" s="4" t="s">
        <v>158</v>
      </c>
      <c r="D40" s="4" t="s">
        <v>54</v>
      </c>
      <c r="E40" s="4">
        <v>73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 t="s">
        <v>57</v>
      </c>
      <c r="V40" s="4" t="s">
        <v>166</v>
      </c>
    </row>
    <row r="41" spans="1:32">
      <c r="A41" s="5" t="s">
        <v>52</v>
      </c>
      <c r="B41" s="5">
        <v>271428</v>
      </c>
      <c r="C41" s="5" t="s">
        <v>158</v>
      </c>
      <c r="D41" s="5" t="s">
        <v>54</v>
      </c>
      <c r="E41" s="5">
        <v>44</v>
      </c>
      <c r="F41" s="5">
        <v>115.62</v>
      </c>
      <c r="G41" s="5">
        <v>115.15</v>
      </c>
      <c r="H41" s="5">
        <v>469.999999999999</v>
      </c>
      <c r="I41" s="5">
        <v>27</v>
      </c>
      <c r="J41" s="5">
        <v>460</v>
      </c>
      <c r="K41" s="5">
        <v>62</v>
      </c>
      <c r="L41" s="5">
        <v>11.3</v>
      </c>
      <c r="M41" s="5">
        <v>7.4</v>
      </c>
      <c r="N41" s="5">
        <v>10</v>
      </c>
      <c r="O41" s="5">
        <v>14</v>
      </c>
      <c r="P41" s="5">
        <v>5</v>
      </c>
      <c r="Q41" s="5">
        <v>19</v>
      </c>
      <c r="R41" s="5" t="s">
        <v>180</v>
      </c>
      <c r="S41" s="5" t="s">
        <v>181</v>
      </c>
      <c r="T41" s="5" t="s">
        <v>57</v>
      </c>
      <c r="U41" s="5" t="s">
        <v>148</v>
      </c>
      <c r="V41" s="5" t="s">
        <v>182</v>
      </c>
      <c r="W41" s="8">
        <v>0.64</v>
      </c>
      <c r="X41" s="8" t="s">
        <v>59</v>
      </c>
      <c r="Y41" s="8">
        <v>0.79</v>
      </c>
      <c r="Z41" s="8">
        <v>30.5</v>
      </c>
      <c r="AA41" s="8" t="s">
        <v>65</v>
      </c>
      <c r="AB41" s="8" t="s">
        <v>61</v>
      </c>
      <c r="AC41" s="8" t="s">
        <v>61</v>
      </c>
      <c r="AD41" s="8" t="s">
        <v>61</v>
      </c>
      <c r="AE41" s="8" t="s">
        <v>57</v>
      </c>
      <c r="AF41" s="8" t="s">
        <v>61</v>
      </c>
    </row>
    <row r="42" spans="1:32">
      <c r="A42" s="5" t="s">
        <v>52</v>
      </c>
      <c r="B42" s="5">
        <v>641459</v>
      </c>
      <c r="C42" s="5" t="s">
        <v>183</v>
      </c>
      <c r="D42" s="5" t="s">
        <v>54</v>
      </c>
      <c r="E42" s="5">
        <v>55</v>
      </c>
      <c r="F42" s="5">
        <v>72.74</v>
      </c>
      <c r="G42" s="5">
        <v>72.55</v>
      </c>
      <c r="H42" s="5">
        <v>189.999999999998</v>
      </c>
      <c r="I42" s="5">
        <v>4</v>
      </c>
      <c r="J42" s="5">
        <v>144</v>
      </c>
      <c r="K42" s="5">
        <v>54</v>
      </c>
      <c r="L42" s="5">
        <v>21.7</v>
      </c>
      <c r="M42" s="5">
        <v>2.9</v>
      </c>
      <c r="N42" s="5">
        <v>23.9</v>
      </c>
      <c r="O42" s="5">
        <v>25</v>
      </c>
      <c r="P42" s="5">
        <v>5</v>
      </c>
      <c r="Q42" s="5">
        <v>23</v>
      </c>
      <c r="R42" s="5" t="s">
        <v>184</v>
      </c>
      <c r="S42" s="5" t="s">
        <v>185</v>
      </c>
      <c r="T42" s="5" t="s">
        <v>57</v>
      </c>
      <c r="V42" s="5" t="s">
        <v>186</v>
      </c>
      <c r="W42" s="8">
        <v>1</v>
      </c>
      <c r="X42" s="8" t="s">
        <v>59</v>
      </c>
      <c r="Y42" s="8">
        <v>0.93</v>
      </c>
      <c r="Z42" s="8">
        <v>19</v>
      </c>
      <c r="AA42" s="8" t="s">
        <v>71</v>
      </c>
      <c r="AB42" s="8" t="s">
        <v>61</v>
      </c>
      <c r="AC42" s="8" t="s">
        <v>57</v>
      </c>
      <c r="AD42" s="8" t="s">
        <v>61</v>
      </c>
      <c r="AE42" s="8" t="s">
        <v>61</v>
      </c>
      <c r="AF42" s="8" t="s">
        <v>61</v>
      </c>
    </row>
    <row r="43" spans="1:32">
      <c r="A43" s="5" t="s">
        <v>52</v>
      </c>
      <c r="B43" s="5">
        <v>226183</v>
      </c>
      <c r="C43" s="5" t="s">
        <v>183</v>
      </c>
      <c r="D43" s="5" t="s">
        <v>54</v>
      </c>
      <c r="E43" s="5">
        <v>58</v>
      </c>
      <c r="F43" s="5">
        <v>69.93</v>
      </c>
      <c r="G43" s="5">
        <v>69.5</v>
      </c>
      <c r="H43" s="5">
        <v>430.000000000007</v>
      </c>
      <c r="I43" s="5">
        <v>9</v>
      </c>
      <c r="J43" s="5">
        <v>416</v>
      </c>
      <c r="K43" s="5">
        <v>76</v>
      </c>
      <c r="L43" s="5">
        <v>12.5</v>
      </c>
      <c r="M43" s="5">
        <v>5.7</v>
      </c>
      <c r="N43" s="5">
        <v>333</v>
      </c>
      <c r="O43" s="5">
        <v>24</v>
      </c>
      <c r="P43" s="5">
        <v>5</v>
      </c>
      <c r="Q43" s="5">
        <v>23</v>
      </c>
      <c r="R43" s="5" t="s">
        <v>187</v>
      </c>
      <c r="S43" s="5" t="s">
        <v>188</v>
      </c>
      <c r="T43" s="5" t="s">
        <v>57</v>
      </c>
      <c r="U43" s="5" t="s">
        <v>189</v>
      </c>
      <c r="V43" s="5" t="s">
        <v>190</v>
      </c>
      <c r="W43" s="8">
        <v>2.33</v>
      </c>
      <c r="X43" s="8" t="s">
        <v>59</v>
      </c>
      <c r="Y43" s="8">
        <v>1.04</v>
      </c>
      <c r="Z43" s="8">
        <v>54.5</v>
      </c>
      <c r="AA43" s="8" t="s">
        <v>68</v>
      </c>
      <c r="AB43" s="8" t="s">
        <v>61</v>
      </c>
      <c r="AC43" s="8" t="s">
        <v>57</v>
      </c>
      <c r="AD43" s="8" t="s">
        <v>61</v>
      </c>
      <c r="AE43" s="8" t="s">
        <v>61</v>
      </c>
      <c r="AF43" s="8" t="s">
        <v>61</v>
      </c>
    </row>
    <row r="44" spans="1:32">
      <c r="A44" s="5" t="s">
        <v>52</v>
      </c>
      <c r="B44" s="5">
        <v>361617</v>
      </c>
      <c r="C44" s="5" t="s">
        <v>183</v>
      </c>
      <c r="D44" s="5" t="s">
        <v>54</v>
      </c>
      <c r="E44" s="5">
        <v>69</v>
      </c>
      <c r="F44" s="5">
        <v>82.18</v>
      </c>
      <c r="G44" s="5">
        <v>82.07</v>
      </c>
      <c r="H44" s="5">
        <v>110.000000000014</v>
      </c>
      <c r="I44" s="5">
        <v>3</v>
      </c>
      <c r="J44" s="5">
        <v>97</v>
      </c>
      <c r="K44" s="5">
        <v>105</v>
      </c>
      <c r="L44" s="5">
        <v>4.8</v>
      </c>
      <c r="M44" s="5">
        <v>1.4</v>
      </c>
      <c r="N44" s="5">
        <v>0</v>
      </c>
      <c r="O44" s="5">
        <v>12</v>
      </c>
      <c r="P44" s="5">
        <v>4</v>
      </c>
      <c r="Q44" s="5">
        <v>15</v>
      </c>
      <c r="R44" s="5" t="s">
        <v>191</v>
      </c>
      <c r="S44" s="5" t="s">
        <v>192</v>
      </c>
      <c r="T44" s="5" t="s">
        <v>57</v>
      </c>
      <c r="V44" s="5" t="s">
        <v>193</v>
      </c>
      <c r="W44" s="8">
        <v>4.9</v>
      </c>
      <c r="X44" s="11">
        <v>0.124</v>
      </c>
      <c r="Y44" s="8">
        <v>0.92</v>
      </c>
      <c r="Z44" s="8">
        <v>87</v>
      </c>
      <c r="AA44" s="8" t="s">
        <v>65</v>
      </c>
      <c r="AB44" s="8" t="s">
        <v>61</v>
      </c>
      <c r="AC44" s="8" t="s">
        <v>57</v>
      </c>
      <c r="AD44" s="8" t="s">
        <v>61</v>
      </c>
      <c r="AE44" s="8" t="s">
        <v>61</v>
      </c>
      <c r="AF44" s="8" t="s">
        <v>57</v>
      </c>
    </row>
    <row r="45" spans="1:32">
      <c r="A45" s="5" t="s">
        <v>52</v>
      </c>
      <c r="B45" s="5">
        <v>440793</v>
      </c>
      <c r="C45" s="5" t="s">
        <v>183</v>
      </c>
      <c r="D45" s="5" t="s">
        <v>54</v>
      </c>
      <c r="E45" s="5">
        <v>67</v>
      </c>
      <c r="F45" s="5">
        <v>74.3</v>
      </c>
      <c r="G45" s="5">
        <v>74.04</v>
      </c>
      <c r="H45" s="5">
        <v>259.999999999991</v>
      </c>
      <c r="I45" s="5">
        <v>8</v>
      </c>
      <c r="J45" s="5">
        <v>234</v>
      </c>
      <c r="K45" s="5">
        <v>64</v>
      </c>
      <c r="L45" s="5">
        <v>8.8</v>
      </c>
      <c r="M45" s="5">
        <v>3.8</v>
      </c>
      <c r="N45" s="5">
        <v>21.6</v>
      </c>
      <c r="O45" s="5">
        <v>13</v>
      </c>
      <c r="P45" s="5">
        <v>3</v>
      </c>
      <c r="Q45" s="5">
        <v>22</v>
      </c>
      <c r="R45" s="5" t="s">
        <v>194</v>
      </c>
      <c r="S45" s="5" t="s">
        <v>195</v>
      </c>
      <c r="T45" s="5" t="s">
        <v>57</v>
      </c>
      <c r="V45" s="5" t="s">
        <v>196</v>
      </c>
      <c r="W45" s="8">
        <v>5.61</v>
      </c>
      <c r="X45" s="11">
        <v>0.198</v>
      </c>
      <c r="Y45" s="8">
        <v>0.75</v>
      </c>
      <c r="Z45" s="8">
        <v>83</v>
      </c>
      <c r="AA45" s="8" t="s">
        <v>71</v>
      </c>
      <c r="AB45" s="8" t="s">
        <v>61</v>
      </c>
      <c r="AC45" s="8" t="s">
        <v>57</v>
      </c>
      <c r="AD45" s="8" t="s">
        <v>61</v>
      </c>
      <c r="AE45" s="8" t="s">
        <v>61</v>
      </c>
      <c r="AF45" s="8" t="s">
        <v>57</v>
      </c>
    </row>
    <row r="46" spans="1:32">
      <c r="A46" s="5" t="s">
        <v>52</v>
      </c>
      <c r="B46" s="5">
        <v>283440</v>
      </c>
      <c r="C46" s="5" t="s">
        <v>183</v>
      </c>
      <c r="D46" s="5" t="s">
        <v>54</v>
      </c>
      <c r="E46" s="5">
        <v>53</v>
      </c>
      <c r="F46" s="5">
        <v>63.26</v>
      </c>
      <c r="G46" s="5">
        <v>62.96</v>
      </c>
      <c r="H46" s="5">
        <v>299.999999999997</v>
      </c>
      <c r="I46" s="5">
        <v>30</v>
      </c>
      <c r="J46" s="5">
        <v>290</v>
      </c>
      <c r="K46" s="5">
        <v>80</v>
      </c>
      <c r="L46" s="5">
        <v>12.2</v>
      </c>
      <c r="M46" s="5">
        <v>4.3</v>
      </c>
      <c r="N46" s="5">
        <v>6</v>
      </c>
      <c r="O46" s="5">
        <v>18</v>
      </c>
      <c r="P46" s="5">
        <v>5</v>
      </c>
      <c r="Q46" s="5">
        <v>17</v>
      </c>
      <c r="R46" s="5" t="s">
        <v>197</v>
      </c>
      <c r="S46" s="5" t="s">
        <v>198</v>
      </c>
      <c r="T46" s="5" t="s">
        <v>57</v>
      </c>
      <c r="V46" s="5" t="s">
        <v>199</v>
      </c>
      <c r="W46" s="8">
        <v>0.35</v>
      </c>
      <c r="X46" s="8" t="s">
        <v>59</v>
      </c>
      <c r="Y46" s="8">
        <v>0.84</v>
      </c>
      <c r="Z46" s="8">
        <v>32.68</v>
      </c>
      <c r="AA46" s="8" t="s">
        <v>68</v>
      </c>
      <c r="AB46" s="8" t="s">
        <v>61</v>
      </c>
      <c r="AC46" s="8" t="s">
        <v>57</v>
      </c>
      <c r="AD46" s="8" t="s">
        <v>57</v>
      </c>
      <c r="AE46" s="8" t="s">
        <v>61</v>
      </c>
      <c r="AF46" s="8" t="s">
        <v>61</v>
      </c>
    </row>
    <row r="47" spans="1:32">
      <c r="A47" s="5" t="s">
        <v>52</v>
      </c>
      <c r="B47" s="5">
        <v>146793</v>
      </c>
      <c r="C47" s="5" t="s">
        <v>183</v>
      </c>
      <c r="D47" s="5" t="s">
        <v>54</v>
      </c>
      <c r="E47" s="5">
        <v>79</v>
      </c>
      <c r="F47" s="5">
        <v>78.2</v>
      </c>
      <c r="G47" s="7"/>
      <c r="H47" s="7"/>
      <c r="I47" s="7"/>
      <c r="J47" s="5">
        <v>36</v>
      </c>
      <c r="K47" s="5">
        <v>32</v>
      </c>
      <c r="L47" s="5">
        <v>4.7</v>
      </c>
      <c r="M47" s="5">
        <v>1.3</v>
      </c>
      <c r="N47" s="5">
        <v>44.2</v>
      </c>
      <c r="O47" s="5">
        <v>6</v>
      </c>
      <c r="P47" s="5">
        <v>2</v>
      </c>
      <c r="Q47" s="5">
        <v>5</v>
      </c>
      <c r="R47" s="5" t="s">
        <v>200</v>
      </c>
      <c r="S47" s="5" t="s">
        <v>201</v>
      </c>
      <c r="T47" s="5" t="s">
        <v>57</v>
      </c>
      <c r="V47" s="5" t="s">
        <v>202</v>
      </c>
      <c r="W47" s="8">
        <v>8.23</v>
      </c>
      <c r="X47" s="11">
        <v>0.176</v>
      </c>
      <c r="Y47" s="8">
        <v>0.93</v>
      </c>
      <c r="Z47" s="8">
        <v>128</v>
      </c>
      <c r="AA47" s="8" t="s">
        <v>68</v>
      </c>
      <c r="AB47" s="8" t="s">
        <v>61</v>
      </c>
      <c r="AC47" s="8" t="s">
        <v>57</v>
      </c>
      <c r="AD47" s="8" t="s">
        <v>57</v>
      </c>
      <c r="AE47" s="8" t="s">
        <v>61</v>
      </c>
      <c r="AF47" s="8" t="s">
        <v>61</v>
      </c>
    </row>
    <row r="48" spans="1:32">
      <c r="A48" s="5" t="s">
        <v>52</v>
      </c>
      <c r="B48" s="5">
        <v>364315</v>
      </c>
      <c r="C48" s="5" t="s">
        <v>203</v>
      </c>
      <c r="D48" s="5" t="s">
        <v>54</v>
      </c>
      <c r="E48" s="5">
        <v>65</v>
      </c>
      <c r="F48" s="5">
        <v>98.45</v>
      </c>
      <c r="G48" s="5">
        <v>98.35</v>
      </c>
      <c r="H48" s="5">
        <v>100.000000000009</v>
      </c>
      <c r="I48" s="5">
        <v>5</v>
      </c>
      <c r="J48" s="5">
        <v>86</v>
      </c>
      <c r="K48" s="5">
        <v>29</v>
      </c>
      <c r="L48" s="5">
        <v>8.2</v>
      </c>
      <c r="M48" s="5">
        <v>3.3</v>
      </c>
      <c r="N48" s="5">
        <v>60</v>
      </c>
      <c r="O48" s="5">
        <v>29</v>
      </c>
      <c r="P48" s="5">
        <v>5</v>
      </c>
      <c r="Q48" s="5">
        <v>5</v>
      </c>
      <c r="R48" s="5" t="s">
        <v>204</v>
      </c>
      <c r="S48" s="5" t="s">
        <v>205</v>
      </c>
      <c r="T48" s="5" t="s">
        <v>57</v>
      </c>
      <c r="V48" s="5" t="s">
        <v>206</v>
      </c>
      <c r="W48" s="8">
        <v>11.4</v>
      </c>
      <c r="X48" s="8" t="s">
        <v>59</v>
      </c>
      <c r="Y48" s="8">
        <v>1.27</v>
      </c>
      <c r="Z48" s="8">
        <v>40</v>
      </c>
      <c r="AA48" s="8" t="s">
        <v>60</v>
      </c>
      <c r="AB48" s="8" t="s">
        <v>61</v>
      </c>
      <c r="AC48" s="8" t="s">
        <v>57</v>
      </c>
      <c r="AD48" s="8" t="s">
        <v>61</v>
      </c>
      <c r="AE48" s="8" t="s">
        <v>61</v>
      </c>
      <c r="AF48" s="8" t="s">
        <v>57</v>
      </c>
    </row>
    <row r="49" spans="1:32">
      <c r="A49" s="5" t="s">
        <v>52</v>
      </c>
      <c r="B49" s="5">
        <v>2188</v>
      </c>
      <c r="C49" s="5" t="s">
        <v>203</v>
      </c>
      <c r="D49" s="5" t="s">
        <v>54</v>
      </c>
      <c r="E49" s="5">
        <v>75</v>
      </c>
      <c r="F49" s="5">
        <v>94.16</v>
      </c>
      <c r="G49" s="5">
        <v>94.02</v>
      </c>
      <c r="H49" s="5">
        <v>140.000000000001</v>
      </c>
      <c r="I49" s="5">
        <v>3</v>
      </c>
      <c r="J49" s="5">
        <v>115</v>
      </c>
      <c r="K49" s="5">
        <v>49</v>
      </c>
      <c r="L49" s="5">
        <v>7.9</v>
      </c>
      <c r="M49" s="5">
        <v>3</v>
      </c>
      <c r="N49" s="5">
        <v>38</v>
      </c>
      <c r="O49" s="5">
        <v>13</v>
      </c>
      <c r="P49" s="5">
        <v>4</v>
      </c>
      <c r="Q49" s="5">
        <v>6</v>
      </c>
      <c r="R49" s="5" t="s">
        <v>207</v>
      </c>
      <c r="S49" s="5" t="s">
        <v>208</v>
      </c>
      <c r="T49" s="5" t="s">
        <v>57</v>
      </c>
      <c r="V49" s="5" t="s">
        <v>209</v>
      </c>
      <c r="W49" s="8" t="s">
        <v>210</v>
      </c>
      <c r="X49" s="8" t="s">
        <v>59</v>
      </c>
      <c r="Y49" s="8">
        <v>0.83</v>
      </c>
      <c r="Z49" s="8">
        <v>20</v>
      </c>
      <c r="AA49" s="8" t="s">
        <v>60</v>
      </c>
      <c r="AB49" s="8" t="s">
        <v>61</v>
      </c>
      <c r="AC49" s="8" t="s">
        <v>61</v>
      </c>
      <c r="AD49" s="8" t="s">
        <v>61</v>
      </c>
      <c r="AE49" s="8" t="s">
        <v>57</v>
      </c>
      <c r="AF49" s="8" t="s">
        <v>61</v>
      </c>
    </row>
    <row r="50" spans="1:32">
      <c r="A50" s="5" t="s">
        <v>52</v>
      </c>
      <c r="B50" s="5">
        <v>244986</v>
      </c>
      <c r="C50" s="5" t="s">
        <v>203</v>
      </c>
      <c r="D50" s="5" t="s">
        <v>54</v>
      </c>
      <c r="E50" s="5">
        <v>82</v>
      </c>
      <c r="F50" s="5">
        <v>80.34</v>
      </c>
      <c r="G50" s="5">
        <v>80.16</v>
      </c>
      <c r="H50" s="5">
        <v>180.000000000007</v>
      </c>
      <c r="I50" s="5">
        <v>2</v>
      </c>
      <c r="J50" s="5">
        <v>164</v>
      </c>
      <c r="K50" s="5">
        <v>28</v>
      </c>
      <c r="L50" s="5">
        <v>21.3</v>
      </c>
      <c r="M50" s="5">
        <v>6.2</v>
      </c>
      <c r="N50" s="5">
        <v>100</v>
      </c>
      <c r="O50" s="5">
        <v>8</v>
      </c>
      <c r="P50" s="5">
        <v>5</v>
      </c>
      <c r="Q50" s="5">
        <v>5</v>
      </c>
      <c r="R50" s="5" t="s">
        <v>211</v>
      </c>
      <c r="S50" s="5" t="s">
        <v>212</v>
      </c>
      <c r="T50" s="5" t="s">
        <v>57</v>
      </c>
      <c r="V50" s="5" t="s">
        <v>213</v>
      </c>
      <c r="W50" s="8">
        <v>1.9</v>
      </c>
      <c r="X50" s="8" t="s">
        <v>120</v>
      </c>
      <c r="Y50" s="8">
        <v>1.1</v>
      </c>
      <c r="Z50" s="8">
        <v>30</v>
      </c>
      <c r="AA50" s="8" t="s">
        <v>165</v>
      </c>
      <c r="AB50" s="8" t="s">
        <v>61</v>
      </c>
      <c r="AC50" s="8" t="s">
        <v>57</v>
      </c>
      <c r="AD50" s="8" t="s">
        <v>61</v>
      </c>
      <c r="AE50" s="8" t="s">
        <v>61</v>
      </c>
      <c r="AF50" s="8" t="s">
        <v>61</v>
      </c>
    </row>
    <row r="51" spans="1:32">
      <c r="A51" s="5" t="s">
        <v>52</v>
      </c>
      <c r="B51" s="5">
        <v>154636</v>
      </c>
      <c r="C51" s="5" t="s">
        <v>203</v>
      </c>
      <c r="D51" s="5" t="s">
        <v>54</v>
      </c>
      <c r="E51" s="5">
        <v>82</v>
      </c>
      <c r="F51" s="5">
        <v>79.32</v>
      </c>
      <c r="G51" s="5">
        <v>79.17</v>
      </c>
      <c r="H51" s="5">
        <v>149.999999999991</v>
      </c>
      <c r="I51" s="5">
        <v>1</v>
      </c>
      <c r="J51" s="5">
        <v>139</v>
      </c>
      <c r="K51" s="5">
        <v>93</v>
      </c>
      <c r="L51" s="5">
        <v>7.3</v>
      </c>
      <c r="M51" s="5">
        <v>2.6</v>
      </c>
      <c r="N51" s="5">
        <v>99</v>
      </c>
      <c r="O51" s="5">
        <v>30</v>
      </c>
      <c r="P51" s="5">
        <v>5</v>
      </c>
      <c r="Q51" s="5">
        <v>5</v>
      </c>
      <c r="R51" s="5" t="s">
        <v>214</v>
      </c>
      <c r="S51" s="5" t="s">
        <v>215</v>
      </c>
      <c r="T51" s="5" t="s">
        <v>57</v>
      </c>
      <c r="V51" s="5" t="s">
        <v>216</v>
      </c>
      <c r="W51" s="8">
        <v>5.32</v>
      </c>
      <c r="X51" s="11">
        <v>0.102</v>
      </c>
      <c r="Y51" s="8">
        <v>1.1</v>
      </c>
      <c r="Z51" s="8">
        <v>160</v>
      </c>
      <c r="AA51" s="8" t="s">
        <v>217</v>
      </c>
      <c r="AB51" s="8" t="s">
        <v>61</v>
      </c>
      <c r="AC51" s="8" t="s">
        <v>57</v>
      </c>
      <c r="AD51" s="8" t="s">
        <v>61</v>
      </c>
      <c r="AE51" s="8" t="s">
        <v>61</v>
      </c>
      <c r="AF51" s="8" t="s">
        <v>57</v>
      </c>
    </row>
    <row r="52" spans="1:32">
      <c r="A52" s="5" t="s">
        <v>52</v>
      </c>
      <c r="B52" s="5">
        <v>142262</v>
      </c>
      <c r="C52" s="5" t="s">
        <v>203</v>
      </c>
      <c r="D52" s="5" t="s">
        <v>54</v>
      </c>
      <c r="E52" s="5">
        <v>68</v>
      </c>
      <c r="F52" s="5">
        <v>85.6</v>
      </c>
      <c r="G52" s="5">
        <v>85.25</v>
      </c>
      <c r="H52" s="5">
        <v>349.999999999994</v>
      </c>
      <c r="I52" s="5">
        <v>9</v>
      </c>
      <c r="J52" s="5">
        <v>325</v>
      </c>
      <c r="K52" s="5">
        <v>26</v>
      </c>
      <c r="L52" s="5">
        <v>25.6</v>
      </c>
      <c r="M52" s="5">
        <v>14.8</v>
      </c>
      <c r="N52" s="5">
        <v>29</v>
      </c>
      <c r="O52" s="5">
        <v>9</v>
      </c>
      <c r="P52" s="5">
        <v>2</v>
      </c>
      <c r="Q52" s="5">
        <v>16</v>
      </c>
      <c r="R52" s="5" t="s">
        <v>218</v>
      </c>
      <c r="S52" s="5" t="s">
        <v>219</v>
      </c>
      <c r="T52" s="5" t="s">
        <v>57</v>
      </c>
      <c r="V52" s="5" t="s">
        <v>220</v>
      </c>
      <c r="W52" s="8">
        <v>0.24</v>
      </c>
      <c r="X52" s="8" t="s">
        <v>59</v>
      </c>
      <c r="Y52" s="8">
        <v>0.76</v>
      </c>
      <c r="Z52" s="8">
        <v>55</v>
      </c>
      <c r="AA52" s="8" t="s">
        <v>60</v>
      </c>
      <c r="AB52" s="8" t="s">
        <v>61</v>
      </c>
      <c r="AC52" s="8" t="s">
        <v>61</v>
      </c>
      <c r="AD52" s="8" t="s">
        <v>61</v>
      </c>
      <c r="AE52" s="8" t="s">
        <v>61</v>
      </c>
      <c r="AF52" s="8" t="s">
        <v>61</v>
      </c>
    </row>
    <row r="53" spans="1:32">
      <c r="A53" s="5" t="s">
        <v>52</v>
      </c>
      <c r="B53" s="5">
        <v>292741</v>
      </c>
      <c r="C53" s="5" t="s">
        <v>203</v>
      </c>
      <c r="D53" s="5" t="s">
        <v>54</v>
      </c>
      <c r="E53" s="5">
        <v>70</v>
      </c>
      <c r="F53" s="5">
        <v>83.82</v>
      </c>
      <c r="G53" s="5">
        <v>83.46</v>
      </c>
      <c r="H53" s="5">
        <v>359.999999999999</v>
      </c>
      <c r="I53" s="5">
        <v>14</v>
      </c>
      <c r="J53" s="5">
        <v>322</v>
      </c>
      <c r="K53" s="5">
        <v>55</v>
      </c>
      <c r="L53" s="5">
        <v>9.6</v>
      </c>
      <c r="M53" s="5">
        <v>5.9</v>
      </c>
      <c r="N53" s="5">
        <v>33</v>
      </c>
      <c r="O53" s="5">
        <v>10</v>
      </c>
      <c r="P53" s="5">
        <v>4</v>
      </c>
      <c r="Q53" s="5">
        <v>14</v>
      </c>
      <c r="R53" s="5" t="s">
        <v>221</v>
      </c>
      <c r="S53" s="5" t="s">
        <v>222</v>
      </c>
      <c r="T53" s="5" t="s">
        <v>57</v>
      </c>
      <c r="V53" s="5" t="s">
        <v>223</v>
      </c>
      <c r="W53" s="8">
        <v>0.83</v>
      </c>
      <c r="X53" s="8" t="s">
        <v>59</v>
      </c>
      <c r="Y53" s="8">
        <v>0.69</v>
      </c>
      <c r="Z53" s="8">
        <v>45</v>
      </c>
      <c r="AA53" s="8" t="s">
        <v>71</v>
      </c>
      <c r="AB53" s="8" t="s">
        <v>61</v>
      </c>
      <c r="AC53" s="8" t="s">
        <v>57</v>
      </c>
      <c r="AD53" s="8" t="s">
        <v>61</v>
      </c>
      <c r="AE53" s="8" t="s">
        <v>61</v>
      </c>
      <c r="AF53" s="8" t="s">
        <v>61</v>
      </c>
    </row>
    <row r="54" spans="1:32">
      <c r="A54" s="5" t="s">
        <v>52</v>
      </c>
      <c r="B54" s="5">
        <v>523064</v>
      </c>
      <c r="C54" s="5" t="s">
        <v>203</v>
      </c>
      <c r="D54" s="5" t="s">
        <v>54</v>
      </c>
      <c r="E54" s="5">
        <v>57</v>
      </c>
      <c r="F54" s="5">
        <v>94.43</v>
      </c>
      <c r="G54" s="5">
        <v>94.34</v>
      </c>
      <c r="H54" s="5">
        <v>90.0000000000034</v>
      </c>
      <c r="I54" s="5">
        <v>6</v>
      </c>
      <c r="J54" s="5">
        <v>79</v>
      </c>
      <c r="K54" s="5">
        <v>46</v>
      </c>
      <c r="L54" s="5">
        <v>8</v>
      </c>
      <c r="M54" s="5">
        <v>3</v>
      </c>
      <c r="N54" s="5">
        <v>12</v>
      </c>
      <c r="O54" s="5">
        <v>22</v>
      </c>
      <c r="P54" s="5">
        <v>2</v>
      </c>
      <c r="Q54" s="5">
        <v>8</v>
      </c>
      <c r="R54" s="5" t="s">
        <v>224</v>
      </c>
      <c r="S54" s="5" t="s">
        <v>225</v>
      </c>
      <c r="T54" s="5" t="s">
        <v>57</v>
      </c>
      <c r="V54" s="5" t="s">
        <v>226</v>
      </c>
      <c r="W54" s="8">
        <v>0.84</v>
      </c>
      <c r="X54" s="8" t="s">
        <v>59</v>
      </c>
      <c r="Y54" s="8">
        <v>1.14</v>
      </c>
      <c r="Z54" s="8">
        <v>45</v>
      </c>
      <c r="AA54" s="8" t="s">
        <v>71</v>
      </c>
      <c r="AB54" s="8" t="s">
        <v>61</v>
      </c>
      <c r="AC54" s="8" t="s">
        <v>61</v>
      </c>
      <c r="AD54" s="8" t="s">
        <v>61</v>
      </c>
      <c r="AE54" s="8" t="s">
        <v>61</v>
      </c>
      <c r="AF54" s="8" t="s">
        <v>61</v>
      </c>
    </row>
    <row r="55" spans="1:32">
      <c r="A55" s="5" t="s">
        <v>52</v>
      </c>
      <c r="B55" s="5">
        <v>490584</v>
      </c>
      <c r="C55" s="5" t="s">
        <v>227</v>
      </c>
      <c r="D55" s="5" t="s">
        <v>54</v>
      </c>
      <c r="E55" s="5">
        <v>68</v>
      </c>
      <c r="F55" s="5">
        <v>90.06</v>
      </c>
      <c r="G55" s="5">
        <v>89.84</v>
      </c>
      <c r="H55" s="5">
        <v>219.999999999999</v>
      </c>
      <c r="I55" s="5">
        <v>35</v>
      </c>
      <c r="J55" s="5">
        <v>200</v>
      </c>
      <c r="K55" s="5">
        <v>77</v>
      </c>
      <c r="L55" s="5">
        <v>5</v>
      </c>
      <c r="M55" s="5">
        <v>2.6</v>
      </c>
      <c r="N55" s="5">
        <v>49.6</v>
      </c>
      <c r="O55" s="5">
        <v>8</v>
      </c>
      <c r="P55" s="5">
        <v>4</v>
      </c>
      <c r="Q55" s="5">
        <v>12</v>
      </c>
      <c r="R55" s="5" t="s">
        <v>228</v>
      </c>
      <c r="S55" s="5" t="s">
        <v>229</v>
      </c>
      <c r="T55" s="5" t="s">
        <v>57</v>
      </c>
      <c r="V55" s="5" t="s">
        <v>230</v>
      </c>
      <c r="W55" s="8">
        <v>6.6</v>
      </c>
      <c r="X55" s="11">
        <v>0.242</v>
      </c>
      <c r="Y55" s="8">
        <v>1.07</v>
      </c>
      <c r="Z55" s="8">
        <v>84</v>
      </c>
      <c r="AA55" s="8" t="s">
        <v>165</v>
      </c>
      <c r="AB55" s="8" t="s">
        <v>61</v>
      </c>
      <c r="AC55" s="8" t="s">
        <v>61</v>
      </c>
      <c r="AD55" s="8" t="s">
        <v>61</v>
      </c>
      <c r="AE55" s="8" t="s">
        <v>61</v>
      </c>
      <c r="AF55" s="8" t="s">
        <v>61</v>
      </c>
    </row>
    <row r="56" spans="1:32">
      <c r="A56" s="5" t="s">
        <v>52</v>
      </c>
      <c r="B56" s="5">
        <v>273272</v>
      </c>
      <c r="C56" s="5" t="s">
        <v>227</v>
      </c>
      <c r="D56" s="5" t="s">
        <v>54</v>
      </c>
      <c r="E56" s="5">
        <v>65</v>
      </c>
      <c r="F56" s="5">
        <v>72.99</v>
      </c>
      <c r="G56" s="5">
        <v>72.91</v>
      </c>
      <c r="H56" s="5">
        <v>79.9999999999983</v>
      </c>
      <c r="I56" s="5">
        <v>13</v>
      </c>
      <c r="J56" s="5">
        <v>77</v>
      </c>
      <c r="K56" s="5">
        <v>50</v>
      </c>
      <c r="L56" s="5">
        <v>2.7</v>
      </c>
      <c r="M56" s="5">
        <v>1.6</v>
      </c>
      <c r="N56" s="5">
        <v>0</v>
      </c>
      <c r="O56" s="5">
        <v>8</v>
      </c>
      <c r="P56" s="5">
        <v>2</v>
      </c>
      <c r="Q56" s="5">
        <v>20</v>
      </c>
      <c r="R56" s="5" t="s">
        <v>231</v>
      </c>
      <c r="S56" s="5" t="s">
        <v>232</v>
      </c>
      <c r="T56" s="5" t="s">
        <v>57</v>
      </c>
      <c r="V56" s="5" t="s">
        <v>233</v>
      </c>
      <c r="W56" s="8">
        <v>2.78</v>
      </c>
      <c r="X56" s="11">
        <v>0.148</v>
      </c>
      <c r="Y56" s="8">
        <v>0.8</v>
      </c>
      <c r="Z56" s="8">
        <v>62</v>
      </c>
      <c r="AA56" s="8" t="s">
        <v>60</v>
      </c>
      <c r="AB56" s="8" t="s">
        <v>61</v>
      </c>
      <c r="AC56" s="8" t="s">
        <v>61</v>
      </c>
      <c r="AD56" s="8" t="s">
        <v>61</v>
      </c>
      <c r="AE56" s="8" t="s">
        <v>61</v>
      </c>
      <c r="AF56" s="8" t="s">
        <v>61</v>
      </c>
    </row>
    <row r="57" spans="1:32">
      <c r="A57" s="5" t="s">
        <v>52</v>
      </c>
      <c r="B57" s="5">
        <v>128979</v>
      </c>
      <c r="C57" s="5" t="s">
        <v>227</v>
      </c>
      <c r="D57" s="5" t="s">
        <v>54</v>
      </c>
      <c r="E57" s="5">
        <v>63</v>
      </c>
      <c r="F57" s="5">
        <v>75.71</v>
      </c>
      <c r="G57" s="5">
        <v>75.5</v>
      </c>
      <c r="H57" s="5">
        <v>209.999999999994</v>
      </c>
      <c r="I57" s="5">
        <v>7</v>
      </c>
      <c r="J57" s="5">
        <v>206</v>
      </c>
      <c r="K57" s="5">
        <v>54</v>
      </c>
      <c r="L57" s="5">
        <v>7.2</v>
      </c>
      <c r="M57" s="5">
        <v>4.1</v>
      </c>
      <c r="N57" s="5">
        <v>42.8</v>
      </c>
      <c r="O57" s="5">
        <v>19</v>
      </c>
      <c r="P57" s="5">
        <v>5</v>
      </c>
      <c r="Q57" s="5">
        <v>8</v>
      </c>
      <c r="R57" s="5" t="s">
        <v>234</v>
      </c>
      <c r="S57" s="5" t="s">
        <v>235</v>
      </c>
      <c r="T57" s="5" t="s">
        <v>57</v>
      </c>
      <c r="V57" s="5" t="s">
        <v>236</v>
      </c>
      <c r="W57" s="8">
        <v>1.77</v>
      </c>
      <c r="X57" s="8" t="s">
        <v>59</v>
      </c>
      <c r="Y57" s="8">
        <v>1.09</v>
      </c>
      <c r="Z57" s="8">
        <v>55</v>
      </c>
      <c r="AA57" s="8" t="s">
        <v>65</v>
      </c>
      <c r="AB57" s="8" t="s">
        <v>61</v>
      </c>
      <c r="AC57" s="8" t="s">
        <v>57</v>
      </c>
      <c r="AD57" s="8" t="s">
        <v>61</v>
      </c>
      <c r="AE57" s="8" t="s">
        <v>61</v>
      </c>
      <c r="AF57" s="8" t="s">
        <v>61</v>
      </c>
    </row>
    <row r="58" spans="1:32">
      <c r="A58" s="5" t="s">
        <v>52</v>
      </c>
      <c r="B58" s="5">
        <v>413117</v>
      </c>
      <c r="C58" s="5" t="s">
        <v>227</v>
      </c>
      <c r="D58" s="5" t="s">
        <v>54</v>
      </c>
      <c r="E58" s="5">
        <v>38</v>
      </c>
      <c r="F58" s="5">
        <v>75.76</v>
      </c>
      <c r="G58" s="5">
        <v>75.48</v>
      </c>
      <c r="H58" s="5">
        <v>280.000000000001</v>
      </c>
      <c r="I58" s="5">
        <v>9</v>
      </c>
      <c r="J58" s="5">
        <v>260</v>
      </c>
      <c r="K58" s="5">
        <v>51</v>
      </c>
      <c r="L58" s="5">
        <v>7.1</v>
      </c>
      <c r="M58" s="5">
        <v>5.1</v>
      </c>
      <c r="N58" s="5">
        <v>16.4</v>
      </c>
      <c r="O58" s="5">
        <v>15</v>
      </c>
      <c r="P58" s="5">
        <v>5</v>
      </c>
      <c r="Q58" s="5">
        <v>25</v>
      </c>
      <c r="R58" s="5" t="s">
        <v>237</v>
      </c>
      <c r="S58" s="5" t="s">
        <v>238</v>
      </c>
      <c r="T58" s="5" t="s">
        <v>57</v>
      </c>
      <c r="U58" s="5" t="s">
        <v>148</v>
      </c>
      <c r="V58" s="5" t="s">
        <v>239</v>
      </c>
      <c r="W58" s="8">
        <v>0.76</v>
      </c>
      <c r="X58" s="8" t="s">
        <v>59</v>
      </c>
      <c r="Y58" s="8">
        <v>0.78</v>
      </c>
      <c r="Z58" s="8">
        <v>25</v>
      </c>
      <c r="AA58" s="8" t="s">
        <v>60</v>
      </c>
      <c r="AB58" s="8" t="s">
        <v>61</v>
      </c>
      <c r="AC58" s="8" t="s">
        <v>61</v>
      </c>
      <c r="AD58" s="8" t="s">
        <v>61</v>
      </c>
      <c r="AE58" s="8" t="s">
        <v>61</v>
      </c>
      <c r="AF58" s="8" t="s">
        <v>61</v>
      </c>
    </row>
    <row r="59" spans="1:32">
      <c r="A59" s="5" t="s">
        <v>52</v>
      </c>
      <c r="B59" s="5">
        <v>611306</v>
      </c>
      <c r="C59" s="5" t="s">
        <v>227</v>
      </c>
      <c r="D59" s="5" t="s">
        <v>54</v>
      </c>
      <c r="E59" s="5">
        <v>48</v>
      </c>
      <c r="F59" s="5">
        <v>78.03</v>
      </c>
      <c r="G59" s="5">
        <v>77.7</v>
      </c>
      <c r="H59" s="5">
        <v>329.999999999998</v>
      </c>
      <c r="I59" s="5">
        <v>4</v>
      </c>
      <c r="J59" s="5">
        <v>70</v>
      </c>
      <c r="K59" s="5">
        <v>15</v>
      </c>
      <c r="L59" s="5">
        <v>7.5</v>
      </c>
      <c r="M59" s="5">
        <v>4.8</v>
      </c>
      <c r="N59" s="5">
        <v>0</v>
      </c>
      <c r="O59" s="5">
        <v>16</v>
      </c>
      <c r="P59" s="5">
        <v>4</v>
      </c>
      <c r="Q59" s="5">
        <v>16</v>
      </c>
      <c r="R59" s="5" t="s">
        <v>240</v>
      </c>
      <c r="S59" s="5" t="s">
        <v>241</v>
      </c>
      <c r="T59" s="5" t="s">
        <v>57</v>
      </c>
      <c r="V59" s="5" t="s">
        <v>242</v>
      </c>
      <c r="W59" s="8">
        <v>1.3</v>
      </c>
      <c r="X59" s="8" t="s">
        <v>59</v>
      </c>
      <c r="Y59" s="8">
        <v>0.81</v>
      </c>
      <c r="Z59" s="8">
        <v>20</v>
      </c>
      <c r="AA59" s="8" t="s">
        <v>60</v>
      </c>
      <c r="AB59" s="8" t="s">
        <v>61</v>
      </c>
      <c r="AC59" s="8" t="s">
        <v>57</v>
      </c>
      <c r="AD59" s="8" t="s">
        <v>61</v>
      </c>
      <c r="AE59" s="8" t="s">
        <v>61</v>
      </c>
      <c r="AF59" s="8" t="s">
        <v>61</v>
      </c>
    </row>
    <row r="60" spans="1:32">
      <c r="A60" s="5" t="s">
        <v>52</v>
      </c>
      <c r="B60" s="5">
        <v>79393</v>
      </c>
      <c r="C60" s="5" t="s">
        <v>227</v>
      </c>
      <c r="D60" s="5" t="s">
        <v>54</v>
      </c>
      <c r="E60" s="5">
        <v>69</v>
      </c>
      <c r="F60" s="5">
        <v>66.26</v>
      </c>
      <c r="G60" s="5">
        <v>66.07</v>
      </c>
      <c r="H60" s="5">
        <v>190.000000000012</v>
      </c>
      <c r="I60" s="5">
        <v>7</v>
      </c>
      <c r="J60" s="5">
        <v>174</v>
      </c>
      <c r="K60" s="5">
        <v>31</v>
      </c>
      <c r="L60" s="5">
        <v>12.6</v>
      </c>
      <c r="M60" s="5">
        <v>6</v>
      </c>
      <c r="N60" s="5">
        <v>200</v>
      </c>
      <c r="O60" s="5">
        <v>13</v>
      </c>
      <c r="P60" s="5">
        <v>5</v>
      </c>
      <c r="Q60" s="5">
        <v>7</v>
      </c>
      <c r="R60" s="5" t="s">
        <v>243</v>
      </c>
      <c r="S60" s="5" t="s">
        <v>244</v>
      </c>
      <c r="T60" s="5" t="s">
        <v>57</v>
      </c>
      <c r="V60" s="5" t="s">
        <v>245</v>
      </c>
      <c r="W60" s="8">
        <v>6.24</v>
      </c>
      <c r="X60" s="11">
        <v>0.178</v>
      </c>
      <c r="Y60" s="8">
        <v>0.87</v>
      </c>
      <c r="Z60" s="8">
        <v>59</v>
      </c>
      <c r="AA60" s="8" t="s">
        <v>246</v>
      </c>
      <c r="AB60" s="8" t="s">
        <v>61</v>
      </c>
      <c r="AC60" s="8" t="s">
        <v>61</v>
      </c>
      <c r="AD60" s="8" t="s">
        <v>61</v>
      </c>
      <c r="AE60" s="8" t="s">
        <v>57</v>
      </c>
      <c r="AF60" s="8" t="s">
        <v>61</v>
      </c>
    </row>
    <row r="61" spans="1:32">
      <c r="A61" s="5" t="s">
        <v>52</v>
      </c>
      <c r="B61" s="5">
        <v>507991</v>
      </c>
      <c r="C61" s="5" t="s">
        <v>227</v>
      </c>
      <c r="D61" s="5" t="s">
        <v>54</v>
      </c>
      <c r="E61" s="5">
        <v>69</v>
      </c>
      <c r="F61" s="5">
        <v>111.01</v>
      </c>
      <c r="G61" s="5">
        <v>110.75</v>
      </c>
      <c r="H61" s="5">
        <v>260.000000000005</v>
      </c>
      <c r="I61" s="5">
        <v>5</v>
      </c>
      <c r="J61" s="5">
        <v>218</v>
      </c>
      <c r="K61" s="5">
        <v>48</v>
      </c>
      <c r="L61" s="5">
        <v>11.8</v>
      </c>
      <c r="M61" s="5">
        <v>5.1</v>
      </c>
      <c r="N61" s="5">
        <v>94.9</v>
      </c>
      <c r="O61" s="5">
        <v>10</v>
      </c>
      <c r="P61" s="5">
        <v>5</v>
      </c>
      <c r="Q61" s="5">
        <v>11</v>
      </c>
      <c r="R61" s="5" t="s">
        <v>247</v>
      </c>
      <c r="S61" s="5" t="s">
        <v>248</v>
      </c>
      <c r="T61" s="5" t="s">
        <v>57</v>
      </c>
      <c r="V61" s="5" t="s">
        <v>249</v>
      </c>
      <c r="W61" s="8">
        <v>0.58</v>
      </c>
      <c r="X61" s="8" t="s">
        <v>59</v>
      </c>
      <c r="Y61" s="8">
        <v>1.09</v>
      </c>
      <c r="Z61" s="8" t="s">
        <v>250</v>
      </c>
      <c r="AA61" s="8" t="s">
        <v>60</v>
      </c>
      <c r="AB61" s="8" t="s">
        <v>61</v>
      </c>
      <c r="AC61" s="8" t="s">
        <v>57</v>
      </c>
      <c r="AD61" s="8" t="s">
        <v>57</v>
      </c>
      <c r="AE61" s="8" t="s">
        <v>57</v>
      </c>
      <c r="AF61" s="8" t="s">
        <v>61</v>
      </c>
    </row>
    <row r="62" spans="1:32">
      <c r="A62" s="5" t="s">
        <v>52</v>
      </c>
      <c r="B62" s="5">
        <v>574175</v>
      </c>
      <c r="C62" s="5" t="s">
        <v>251</v>
      </c>
      <c r="D62" s="5" t="s">
        <v>54</v>
      </c>
      <c r="E62" s="5">
        <v>72</v>
      </c>
      <c r="F62" s="5">
        <v>79.29</v>
      </c>
      <c r="G62" s="5">
        <v>79.16</v>
      </c>
      <c r="H62" s="5">
        <v>130.00000000001</v>
      </c>
      <c r="I62" s="5">
        <v>15</v>
      </c>
      <c r="J62" s="5">
        <v>105</v>
      </c>
      <c r="K62" s="5">
        <v>31</v>
      </c>
      <c r="L62" s="5">
        <v>6.3</v>
      </c>
      <c r="M62" s="5">
        <v>3.4</v>
      </c>
      <c r="N62" s="5">
        <v>46</v>
      </c>
      <c r="O62" s="5">
        <v>17</v>
      </c>
      <c r="P62" s="5">
        <v>3</v>
      </c>
      <c r="Q62" s="5">
        <v>19</v>
      </c>
      <c r="R62" s="5" t="s">
        <v>252</v>
      </c>
      <c r="S62" s="5" t="s">
        <v>253</v>
      </c>
      <c r="T62" s="5" t="s">
        <v>57</v>
      </c>
      <c r="U62" s="5" t="s">
        <v>254</v>
      </c>
      <c r="V62" s="5" t="s">
        <v>255</v>
      </c>
      <c r="W62" s="8">
        <v>2.4</v>
      </c>
      <c r="X62" s="8" t="s">
        <v>59</v>
      </c>
      <c r="Y62" s="8">
        <v>1.02</v>
      </c>
      <c r="Z62" s="8">
        <v>58</v>
      </c>
      <c r="AA62" s="8" t="s">
        <v>165</v>
      </c>
      <c r="AB62" s="8" t="s">
        <v>61</v>
      </c>
      <c r="AC62" s="8" t="s">
        <v>57</v>
      </c>
      <c r="AD62" s="8" t="s">
        <v>61</v>
      </c>
      <c r="AE62" s="8" t="s">
        <v>61</v>
      </c>
      <c r="AF62" s="8" t="s">
        <v>61</v>
      </c>
    </row>
    <row r="63" spans="1:32">
      <c r="A63" s="5" t="s">
        <v>52</v>
      </c>
      <c r="B63" s="5">
        <v>210029</v>
      </c>
      <c r="C63" s="5" t="s">
        <v>251</v>
      </c>
      <c r="D63" s="5" t="s">
        <v>54</v>
      </c>
      <c r="E63" s="5">
        <v>64</v>
      </c>
      <c r="F63" s="5">
        <v>87.32</v>
      </c>
      <c r="G63" s="5">
        <v>87.17</v>
      </c>
      <c r="H63" s="5">
        <v>149.999999999991</v>
      </c>
      <c r="I63" s="5">
        <v>11</v>
      </c>
      <c r="J63" s="5">
        <v>145</v>
      </c>
      <c r="K63" s="5">
        <v>50</v>
      </c>
      <c r="L63" s="5">
        <v>3.7</v>
      </c>
      <c r="M63" s="5">
        <v>2.9</v>
      </c>
      <c r="N63" s="5">
        <v>40</v>
      </c>
      <c r="O63" s="5">
        <v>37</v>
      </c>
      <c r="P63" s="5">
        <v>5</v>
      </c>
      <c r="Q63" s="5">
        <v>14</v>
      </c>
      <c r="R63" s="5" t="s">
        <v>256</v>
      </c>
      <c r="S63" s="5" t="s">
        <v>257</v>
      </c>
      <c r="T63" s="5" t="s">
        <v>57</v>
      </c>
      <c r="V63" s="5" t="s">
        <v>258</v>
      </c>
      <c r="W63" s="8">
        <v>1.32</v>
      </c>
      <c r="X63" s="8" t="s">
        <v>59</v>
      </c>
      <c r="Y63" s="8">
        <v>1.27</v>
      </c>
      <c r="Z63" s="8">
        <v>37</v>
      </c>
      <c r="AA63" s="8" t="s">
        <v>60</v>
      </c>
      <c r="AB63" s="8" t="s">
        <v>61</v>
      </c>
      <c r="AC63" s="8" t="s">
        <v>57</v>
      </c>
      <c r="AD63" s="8" t="s">
        <v>57</v>
      </c>
      <c r="AE63" s="8" t="s">
        <v>61</v>
      </c>
      <c r="AF63" s="8" t="s">
        <v>61</v>
      </c>
    </row>
    <row r="64" spans="1:32">
      <c r="A64" s="5" t="s">
        <v>52</v>
      </c>
      <c r="B64" s="5">
        <v>179850</v>
      </c>
      <c r="C64" s="5" t="s">
        <v>251</v>
      </c>
      <c r="D64" s="5" t="s">
        <v>54</v>
      </c>
      <c r="E64" s="5">
        <v>60</v>
      </c>
      <c r="F64" s="5">
        <v>77.95</v>
      </c>
      <c r="G64" s="5">
        <v>77.92</v>
      </c>
      <c r="H64" s="5">
        <v>30.0000000000011</v>
      </c>
      <c r="I64" s="5">
        <v>5</v>
      </c>
      <c r="J64" s="5">
        <v>50</v>
      </c>
      <c r="K64" s="5">
        <v>19</v>
      </c>
      <c r="L64" s="5">
        <v>5.6</v>
      </c>
      <c r="M64" s="5">
        <v>2.6</v>
      </c>
      <c r="N64" s="5">
        <v>29</v>
      </c>
      <c r="O64" s="5">
        <v>22</v>
      </c>
      <c r="P64" s="5">
        <v>5</v>
      </c>
      <c r="Q64" s="5">
        <v>18</v>
      </c>
      <c r="R64" s="5" t="s">
        <v>259</v>
      </c>
      <c r="S64" s="5" t="s">
        <v>260</v>
      </c>
      <c r="T64" s="5" t="s">
        <v>57</v>
      </c>
      <c r="V64" s="5" t="s">
        <v>261</v>
      </c>
      <c r="W64" s="8">
        <v>4.18</v>
      </c>
      <c r="X64" s="11">
        <v>0.244</v>
      </c>
      <c r="Y64" s="8">
        <v>0.95</v>
      </c>
      <c r="Z64" s="8">
        <v>40</v>
      </c>
      <c r="AA64" s="8" t="s">
        <v>71</v>
      </c>
      <c r="AB64" s="8" t="s">
        <v>61</v>
      </c>
      <c r="AC64" s="8" t="s">
        <v>57</v>
      </c>
      <c r="AD64" s="8" t="s">
        <v>61</v>
      </c>
      <c r="AE64" s="8" t="s">
        <v>61</v>
      </c>
      <c r="AF64" s="8" t="s">
        <v>61</v>
      </c>
    </row>
    <row r="65" spans="1:32">
      <c r="A65" s="5" t="s">
        <v>52</v>
      </c>
      <c r="B65" s="5">
        <v>382719</v>
      </c>
      <c r="C65" s="5" t="s">
        <v>251</v>
      </c>
      <c r="D65" s="5" t="s">
        <v>54</v>
      </c>
      <c r="E65" s="5">
        <v>66</v>
      </c>
      <c r="F65" s="5">
        <v>67.3</v>
      </c>
      <c r="G65" s="5">
        <v>67.14</v>
      </c>
      <c r="H65" s="5">
        <v>159.999999999997</v>
      </c>
      <c r="I65" s="5">
        <v>6</v>
      </c>
      <c r="J65" s="5">
        <v>149</v>
      </c>
      <c r="K65" s="5">
        <v>42</v>
      </c>
      <c r="L65" s="5">
        <v>6.9</v>
      </c>
      <c r="M65" s="5">
        <v>4.1</v>
      </c>
      <c r="N65" s="5">
        <v>79</v>
      </c>
      <c r="O65" s="5">
        <v>10</v>
      </c>
      <c r="P65" s="5">
        <v>4</v>
      </c>
      <c r="Q65" s="5">
        <v>12</v>
      </c>
      <c r="R65" s="5" t="s">
        <v>262</v>
      </c>
      <c r="S65" s="5" t="s">
        <v>263</v>
      </c>
      <c r="T65" s="5" t="s">
        <v>57</v>
      </c>
      <c r="V65" s="5" t="s">
        <v>264</v>
      </c>
      <c r="W65" s="8">
        <v>1.28</v>
      </c>
      <c r="X65" s="8" t="s">
        <v>59</v>
      </c>
      <c r="Y65" s="8">
        <v>0.99</v>
      </c>
      <c r="Z65" s="8">
        <v>45</v>
      </c>
      <c r="AA65" s="8" t="s">
        <v>71</v>
      </c>
      <c r="AB65" s="8" t="s">
        <v>61</v>
      </c>
      <c r="AC65" s="8" t="s">
        <v>61</v>
      </c>
      <c r="AD65" s="8" t="s">
        <v>61</v>
      </c>
      <c r="AE65" s="8" t="s">
        <v>61</v>
      </c>
      <c r="AF65" s="8" t="s">
        <v>61</v>
      </c>
    </row>
    <row r="66" spans="1:32">
      <c r="A66" s="5" t="s">
        <v>52</v>
      </c>
      <c r="B66" s="5">
        <v>672946</v>
      </c>
      <c r="C66" s="5" t="s">
        <v>251</v>
      </c>
      <c r="D66" s="5" t="s">
        <v>54</v>
      </c>
      <c r="E66" s="5">
        <v>45</v>
      </c>
      <c r="F66" s="5">
        <v>116.53</v>
      </c>
      <c r="G66" s="5">
        <v>116.19</v>
      </c>
      <c r="H66" s="5">
        <v>340.000000000003</v>
      </c>
      <c r="I66" s="5">
        <v>1</v>
      </c>
      <c r="J66" s="5">
        <v>152</v>
      </c>
      <c r="K66" s="5">
        <v>68</v>
      </c>
      <c r="L66" s="5">
        <v>14</v>
      </c>
      <c r="M66" s="5">
        <v>2.2</v>
      </c>
      <c r="N66" s="5">
        <v>486</v>
      </c>
      <c r="O66" s="5">
        <v>26</v>
      </c>
      <c r="P66" s="5">
        <v>5</v>
      </c>
      <c r="Q66" s="5">
        <v>18</v>
      </c>
      <c r="R66" s="5" t="s">
        <v>265</v>
      </c>
      <c r="S66" s="5" t="s">
        <v>266</v>
      </c>
      <c r="T66" s="5" t="s">
        <v>57</v>
      </c>
      <c r="U66" s="5" t="s">
        <v>148</v>
      </c>
      <c r="V66" s="5" t="s">
        <v>267</v>
      </c>
      <c r="W66" s="8">
        <v>0.3</v>
      </c>
      <c r="X66" s="8" t="s">
        <v>59</v>
      </c>
      <c r="Y66" s="8">
        <v>0.8</v>
      </c>
      <c r="Z66" s="8">
        <v>30</v>
      </c>
      <c r="AA66" s="8" t="s">
        <v>165</v>
      </c>
      <c r="AB66" s="8" t="s">
        <v>61</v>
      </c>
      <c r="AC66" s="8" t="s">
        <v>61</v>
      </c>
      <c r="AD66" s="8" t="s">
        <v>61</v>
      </c>
      <c r="AE66" s="8" t="s">
        <v>61</v>
      </c>
      <c r="AF66" s="8" t="s">
        <v>61</v>
      </c>
    </row>
    <row r="67" spans="1:32">
      <c r="A67" s="5" t="s">
        <v>52</v>
      </c>
      <c r="B67" s="5">
        <v>179178</v>
      </c>
      <c r="C67" s="5" t="s">
        <v>251</v>
      </c>
      <c r="D67" s="5" t="s">
        <v>54</v>
      </c>
      <c r="E67" s="5">
        <v>55</v>
      </c>
      <c r="F67" s="5">
        <v>95.12</v>
      </c>
      <c r="G67" s="5">
        <v>94.91</v>
      </c>
      <c r="H67" s="5">
        <v>210.000000000008</v>
      </c>
      <c r="I67" s="5">
        <v>9</v>
      </c>
      <c r="J67" s="5">
        <v>190</v>
      </c>
      <c r="K67" s="5">
        <v>15</v>
      </c>
      <c r="L67" s="5">
        <v>26.1</v>
      </c>
      <c r="M67" s="5">
        <v>12.8</v>
      </c>
      <c r="N67" s="5">
        <v>41</v>
      </c>
      <c r="O67" s="5">
        <v>1</v>
      </c>
      <c r="P67" s="5">
        <v>4</v>
      </c>
      <c r="Q67" s="5">
        <v>22</v>
      </c>
      <c r="R67" s="5" t="s">
        <v>268</v>
      </c>
      <c r="S67" s="5" t="s">
        <v>269</v>
      </c>
      <c r="T67" s="5" t="s">
        <v>57</v>
      </c>
      <c r="V67" s="5" t="s">
        <v>270</v>
      </c>
      <c r="W67" s="8">
        <v>1.05</v>
      </c>
      <c r="X67" s="8" t="s">
        <v>59</v>
      </c>
      <c r="Y67" s="8">
        <v>0.92</v>
      </c>
      <c r="Z67" s="8">
        <v>20</v>
      </c>
      <c r="AA67" s="8" t="s">
        <v>60</v>
      </c>
      <c r="AB67" s="8" t="s">
        <v>61</v>
      </c>
      <c r="AC67" s="8" t="s">
        <v>61</v>
      </c>
      <c r="AD67" s="8" t="s">
        <v>61</v>
      </c>
      <c r="AE67" s="8" t="s">
        <v>61</v>
      </c>
      <c r="AF67" s="8" t="s">
        <v>61</v>
      </c>
    </row>
    <row r="68" spans="1:32">
      <c r="A68" s="5" t="s">
        <v>52</v>
      </c>
      <c r="B68" s="5">
        <v>247555</v>
      </c>
      <c r="C68" s="5" t="s">
        <v>271</v>
      </c>
      <c r="D68" s="5" t="s">
        <v>54</v>
      </c>
      <c r="E68" s="5">
        <v>83</v>
      </c>
      <c r="F68" s="5">
        <v>64.08</v>
      </c>
      <c r="G68" s="5">
        <v>63.9</v>
      </c>
      <c r="H68" s="5">
        <v>180</v>
      </c>
      <c r="I68" s="5">
        <v>15</v>
      </c>
      <c r="J68" s="5">
        <v>163</v>
      </c>
      <c r="K68" s="5">
        <v>71</v>
      </c>
      <c r="L68" s="5">
        <v>5.5</v>
      </c>
      <c r="M68" s="5">
        <v>2.3</v>
      </c>
      <c r="N68" s="5">
        <v>27</v>
      </c>
      <c r="O68" s="5">
        <v>17</v>
      </c>
      <c r="P68" s="5">
        <v>1</v>
      </c>
      <c r="Q68" s="5">
        <v>5</v>
      </c>
      <c r="R68" s="5" t="s">
        <v>272</v>
      </c>
      <c r="S68" s="5" t="s">
        <v>273</v>
      </c>
      <c r="T68" s="5" t="s">
        <v>57</v>
      </c>
      <c r="V68" s="5" t="s">
        <v>274</v>
      </c>
      <c r="W68" s="8">
        <v>1.5</v>
      </c>
      <c r="X68" s="8" t="s">
        <v>59</v>
      </c>
      <c r="Y68" s="8">
        <v>1.1</v>
      </c>
      <c r="Z68" s="8">
        <v>25</v>
      </c>
      <c r="AA68" s="8" t="s">
        <v>60</v>
      </c>
      <c r="AB68" s="8" t="s">
        <v>61</v>
      </c>
      <c r="AC68" s="8" t="s">
        <v>61</v>
      </c>
      <c r="AD68" s="8" t="s">
        <v>61</v>
      </c>
      <c r="AE68" s="8" t="s">
        <v>61</v>
      </c>
      <c r="AF68" s="8" t="s">
        <v>61</v>
      </c>
    </row>
    <row r="69" spans="1:32">
      <c r="A69" s="5" t="s">
        <v>52</v>
      </c>
      <c r="B69" s="5">
        <v>333353</v>
      </c>
      <c r="C69" s="5" t="s">
        <v>271</v>
      </c>
      <c r="D69" s="5" t="s">
        <v>54</v>
      </c>
      <c r="E69" s="5">
        <v>68</v>
      </c>
      <c r="F69" s="5">
        <v>87.67</v>
      </c>
      <c r="G69" s="5">
        <v>87.59</v>
      </c>
      <c r="H69" s="5">
        <v>79.9999999999983</v>
      </c>
      <c r="I69" s="5">
        <v>25</v>
      </c>
      <c r="J69" s="5">
        <v>44</v>
      </c>
      <c r="K69" s="5">
        <v>39</v>
      </c>
      <c r="L69" s="5">
        <v>3.4</v>
      </c>
      <c r="M69" s="5">
        <v>1.1</v>
      </c>
      <c r="N69" s="5">
        <v>0</v>
      </c>
      <c r="O69" s="5">
        <v>21</v>
      </c>
      <c r="P69" s="5">
        <v>5</v>
      </c>
      <c r="Q69" s="5">
        <v>21</v>
      </c>
      <c r="R69" s="5" t="s">
        <v>275</v>
      </c>
      <c r="S69" s="5" t="s">
        <v>276</v>
      </c>
      <c r="T69" s="5" t="s">
        <v>57</v>
      </c>
      <c r="V69" s="5" t="s">
        <v>277</v>
      </c>
      <c r="W69" s="8">
        <v>1.67</v>
      </c>
      <c r="X69" s="8" t="s">
        <v>59</v>
      </c>
      <c r="Y69" s="8">
        <v>1.3</v>
      </c>
      <c r="Z69" s="8">
        <v>10</v>
      </c>
      <c r="AA69" s="8" t="s">
        <v>60</v>
      </c>
      <c r="AB69" s="8" t="s">
        <v>61</v>
      </c>
      <c r="AC69" s="8" t="s">
        <v>61</v>
      </c>
      <c r="AD69" s="8" t="s">
        <v>61</v>
      </c>
      <c r="AE69" s="8" t="s">
        <v>61</v>
      </c>
      <c r="AF69" s="8" t="s">
        <v>61</v>
      </c>
    </row>
    <row r="70" spans="1:32">
      <c r="A70" s="5" t="s">
        <v>52</v>
      </c>
      <c r="B70" s="5">
        <v>302787</v>
      </c>
      <c r="C70" s="5" t="s">
        <v>271</v>
      </c>
      <c r="D70" s="5" t="s">
        <v>54</v>
      </c>
      <c r="E70" s="5">
        <v>64</v>
      </c>
      <c r="F70" s="5">
        <v>74.55</v>
      </c>
      <c r="G70" s="5">
        <v>74.41</v>
      </c>
      <c r="H70" s="5">
        <v>140.000000000001</v>
      </c>
      <c r="I70" s="5">
        <v>7</v>
      </c>
      <c r="J70" s="5">
        <v>115</v>
      </c>
      <c r="K70" s="5">
        <v>18</v>
      </c>
      <c r="L70" s="5">
        <v>10.4</v>
      </c>
      <c r="M70" s="5">
        <v>6.5</v>
      </c>
      <c r="N70" s="5">
        <v>31</v>
      </c>
      <c r="O70" s="5">
        <v>20</v>
      </c>
      <c r="P70" s="5">
        <v>4</v>
      </c>
      <c r="Q70" s="5">
        <v>21</v>
      </c>
      <c r="R70" s="5" t="s">
        <v>278</v>
      </c>
      <c r="S70" s="5" t="s">
        <v>279</v>
      </c>
      <c r="T70" s="5" t="s">
        <v>57</v>
      </c>
      <c r="V70" s="5" t="s">
        <v>280</v>
      </c>
      <c r="W70" s="8">
        <v>0.63</v>
      </c>
      <c r="X70" s="8" t="s">
        <v>59</v>
      </c>
      <c r="Y70" s="8">
        <v>1.1</v>
      </c>
      <c r="Z70" s="8">
        <v>20</v>
      </c>
      <c r="AA70" s="8" t="s">
        <v>165</v>
      </c>
      <c r="AB70" s="8" t="s">
        <v>61</v>
      </c>
      <c r="AC70" s="8" t="s">
        <v>57</v>
      </c>
      <c r="AD70" s="8" t="s">
        <v>61</v>
      </c>
      <c r="AE70" s="8" t="s">
        <v>61</v>
      </c>
      <c r="AF70" s="8" t="s">
        <v>61</v>
      </c>
    </row>
    <row r="71" spans="1:32">
      <c r="A71" s="5" t="s">
        <v>52</v>
      </c>
      <c r="B71" s="5">
        <v>239123</v>
      </c>
      <c r="C71" s="5" t="s">
        <v>271</v>
      </c>
      <c r="D71" s="5" t="s">
        <v>54</v>
      </c>
      <c r="E71" s="5">
        <v>74</v>
      </c>
      <c r="F71" s="5">
        <v>90.22</v>
      </c>
      <c r="G71" s="5">
        <v>90.08</v>
      </c>
      <c r="H71" s="5">
        <v>140</v>
      </c>
      <c r="I71" s="5">
        <v>8</v>
      </c>
      <c r="J71" s="5">
        <v>106</v>
      </c>
      <c r="K71" s="5">
        <v>42</v>
      </c>
      <c r="L71" s="5">
        <v>5.8</v>
      </c>
      <c r="M71" s="5">
        <v>2.5</v>
      </c>
      <c r="N71" s="5">
        <v>147</v>
      </c>
      <c r="O71" s="5">
        <v>10</v>
      </c>
      <c r="P71" s="5">
        <v>3</v>
      </c>
      <c r="Q71" s="5">
        <v>5</v>
      </c>
      <c r="R71" s="5" t="s">
        <v>281</v>
      </c>
      <c r="S71" s="5" t="s">
        <v>282</v>
      </c>
      <c r="T71" s="5" t="s">
        <v>57</v>
      </c>
      <c r="V71" s="5" t="s">
        <v>283</v>
      </c>
      <c r="W71" s="8">
        <v>4.97</v>
      </c>
      <c r="X71" s="11">
        <v>0.211</v>
      </c>
      <c r="Y71" s="8">
        <v>1.48</v>
      </c>
      <c r="Z71" s="8">
        <v>42</v>
      </c>
      <c r="AA71" s="8" t="s">
        <v>60</v>
      </c>
      <c r="AB71" s="8" t="s">
        <v>61</v>
      </c>
      <c r="AC71" s="8" t="s">
        <v>57</v>
      </c>
      <c r="AD71" s="8" t="s">
        <v>61</v>
      </c>
      <c r="AE71" s="8" t="s">
        <v>61</v>
      </c>
      <c r="AF71" s="8" t="s">
        <v>61</v>
      </c>
    </row>
    <row r="72" spans="1:32">
      <c r="A72" s="5" t="s">
        <v>52</v>
      </c>
      <c r="B72" s="5">
        <v>403052</v>
      </c>
      <c r="C72" s="5" t="s">
        <v>271</v>
      </c>
      <c r="D72" s="5" t="s">
        <v>54</v>
      </c>
      <c r="E72" s="5">
        <v>77</v>
      </c>
      <c r="F72" s="5">
        <v>69.23</v>
      </c>
      <c r="G72" s="5">
        <v>69.01</v>
      </c>
      <c r="H72" s="5">
        <v>219.999999999999</v>
      </c>
      <c r="I72" s="5">
        <v>11</v>
      </c>
      <c r="J72" s="5">
        <v>204</v>
      </c>
      <c r="K72" s="5">
        <v>51</v>
      </c>
      <c r="L72" s="5">
        <v>6.8</v>
      </c>
      <c r="M72" s="5">
        <v>4</v>
      </c>
      <c r="N72" s="5">
        <v>89</v>
      </c>
      <c r="O72" s="5">
        <v>8</v>
      </c>
      <c r="P72" s="5">
        <v>5</v>
      </c>
      <c r="Q72" s="5">
        <v>5</v>
      </c>
      <c r="R72" s="5" t="s">
        <v>284</v>
      </c>
      <c r="S72" s="5" t="s">
        <v>285</v>
      </c>
      <c r="T72" s="5" t="s">
        <v>57</v>
      </c>
      <c r="V72" s="5" t="s">
        <v>286</v>
      </c>
      <c r="W72" s="8">
        <v>2.4</v>
      </c>
      <c r="X72" s="8" t="s">
        <v>120</v>
      </c>
      <c r="Y72" s="8">
        <v>1.44</v>
      </c>
      <c r="Z72" s="8">
        <v>68</v>
      </c>
      <c r="AA72" s="8" t="s">
        <v>65</v>
      </c>
      <c r="AB72" s="8" t="s">
        <v>61</v>
      </c>
      <c r="AC72" s="8" t="s">
        <v>57</v>
      </c>
      <c r="AD72" s="8" t="s">
        <v>61</v>
      </c>
      <c r="AE72" s="8" t="s">
        <v>61</v>
      </c>
      <c r="AF72" s="8" t="s">
        <v>57</v>
      </c>
    </row>
    <row r="73" spans="1:32">
      <c r="A73" s="5" t="s">
        <v>52</v>
      </c>
      <c r="B73" s="5">
        <v>344451</v>
      </c>
      <c r="C73" s="5" t="s">
        <v>271</v>
      </c>
      <c r="D73" s="5" t="s">
        <v>54</v>
      </c>
      <c r="E73" s="5">
        <v>73</v>
      </c>
      <c r="F73" s="5">
        <v>85.16</v>
      </c>
      <c r="G73" s="5">
        <v>84.89</v>
      </c>
      <c r="H73" s="5">
        <v>269.999999999996</v>
      </c>
      <c r="I73" s="5">
        <v>9</v>
      </c>
      <c r="J73" s="5">
        <v>131</v>
      </c>
      <c r="K73" s="5">
        <v>41</v>
      </c>
      <c r="L73" s="5">
        <v>12</v>
      </c>
      <c r="M73" s="5">
        <v>3.2</v>
      </c>
      <c r="N73" s="5">
        <v>160</v>
      </c>
      <c r="O73" s="5">
        <v>17</v>
      </c>
      <c r="P73" s="5">
        <v>5</v>
      </c>
      <c r="Q73" s="5">
        <v>13</v>
      </c>
      <c r="R73" s="5" t="s">
        <v>287</v>
      </c>
      <c r="S73" s="5" t="s">
        <v>288</v>
      </c>
      <c r="T73" s="5" t="s">
        <v>57</v>
      </c>
      <c r="V73" s="5" t="s">
        <v>289</v>
      </c>
      <c r="W73" s="8">
        <v>4.83</v>
      </c>
      <c r="X73" s="11">
        <v>0.175</v>
      </c>
      <c r="Y73" s="8">
        <v>0.85</v>
      </c>
      <c r="Z73" s="8">
        <v>100</v>
      </c>
      <c r="AA73" s="8" t="s">
        <v>154</v>
      </c>
      <c r="AB73" s="8" t="s">
        <v>61</v>
      </c>
      <c r="AC73" s="8" t="s">
        <v>57</v>
      </c>
      <c r="AD73" s="8" t="s">
        <v>61</v>
      </c>
      <c r="AE73" s="8" t="s">
        <v>61</v>
      </c>
      <c r="AF73" s="8" t="s">
        <v>61</v>
      </c>
    </row>
    <row r="74" spans="1:32">
      <c r="A74" s="5" t="s">
        <v>52</v>
      </c>
      <c r="B74" s="5">
        <v>52424</v>
      </c>
      <c r="C74" s="5" t="s">
        <v>290</v>
      </c>
      <c r="D74" s="5" t="s">
        <v>54</v>
      </c>
      <c r="E74" s="5">
        <v>72</v>
      </c>
      <c r="F74" s="5">
        <v>89.76</v>
      </c>
      <c r="G74" s="5">
        <v>89.48</v>
      </c>
      <c r="H74" s="5">
        <v>280.000000000001</v>
      </c>
      <c r="I74" s="5">
        <v>8</v>
      </c>
      <c r="J74" s="5">
        <v>188</v>
      </c>
      <c r="K74" s="5">
        <v>25</v>
      </c>
      <c r="L74" s="5">
        <v>14.3</v>
      </c>
      <c r="M74" s="5">
        <v>7.5</v>
      </c>
      <c r="N74" s="5">
        <v>0</v>
      </c>
      <c r="O74" s="5">
        <v>5</v>
      </c>
      <c r="P74" s="5">
        <v>5</v>
      </c>
      <c r="Q74" s="5">
        <v>9</v>
      </c>
      <c r="R74" s="5" t="s">
        <v>291</v>
      </c>
      <c r="S74" s="5" t="s">
        <v>292</v>
      </c>
      <c r="T74" s="5" t="s">
        <v>57</v>
      </c>
      <c r="V74" s="5" t="s">
        <v>293</v>
      </c>
      <c r="W74" s="8">
        <v>4.43</v>
      </c>
      <c r="X74" s="11">
        <v>0.257</v>
      </c>
      <c r="Y74" s="8">
        <v>0.92</v>
      </c>
      <c r="Z74" s="8">
        <v>57</v>
      </c>
      <c r="AA74" s="8" t="s">
        <v>246</v>
      </c>
      <c r="AB74" s="8" t="s">
        <v>61</v>
      </c>
      <c r="AC74" s="8" t="s">
        <v>57</v>
      </c>
      <c r="AD74" s="8" t="s">
        <v>57</v>
      </c>
      <c r="AE74" s="8" t="s">
        <v>61</v>
      </c>
      <c r="AF74" s="8" t="s">
        <v>61</v>
      </c>
    </row>
    <row r="75" spans="1:32">
      <c r="A75" s="5" t="s">
        <v>52</v>
      </c>
      <c r="B75" s="5">
        <v>140459</v>
      </c>
      <c r="C75" s="5" t="s">
        <v>290</v>
      </c>
      <c r="D75" s="5" t="s">
        <v>54</v>
      </c>
      <c r="E75" s="5">
        <v>78</v>
      </c>
      <c r="F75" s="5">
        <v>105.6</v>
      </c>
      <c r="G75" s="5">
        <v>105.37</v>
      </c>
      <c r="H75" s="5">
        <v>229.99999999999</v>
      </c>
      <c r="I75" s="5">
        <v>8</v>
      </c>
      <c r="J75" s="5">
        <v>233</v>
      </c>
      <c r="K75" s="5">
        <v>45</v>
      </c>
      <c r="L75" s="5">
        <v>14.8</v>
      </c>
      <c r="M75" s="5">
        <v>5.2</v>
      </c>
      <c r="N75" s="5">
        <v>64</v>
      </c>
      <c r="O75" s="5">
        <v>16</v>
      </c>
      <c r="P75" s="5">
        <v>3</v>
      </c>
      <c r="Q75" s="5">
        <v>13</v>
      </c>
      <c r="R75" s="5" t="s">
        <v>294</v>
      </c>
      <c r="S75" s="5" t="s">
        <v>295</v>
      </c>
      <c r="T75" s="5" t="s">
        <v>57</v>
      </c>
      <c r="V75" s="5" t="s">
        <v>296</v>
      </c>
      <c r="W75" s="8">
        <v>3.04</v>
      </c>
      <c r="X75" s="11">
        <v>0.217</v>
      </c>
      <c r="Y75" s="8">
        <v>0.77</v>
      </c>
      <c r="Z75" s="8">
        <v>147</v>
      </c>
      <c r="AA75" s="8" t="s">
        <v>154</v>
      </c>
      <c r="AB75" s="8" t="s">
        <v>61</v>
      </c>
      <c r="AC75" s="8" t="s">
        <v>57</v>
      </c>
      <c r="AD75" s="8" t="s">
        <v>61</v>
      </c>
      <c r="AE75" s="8" t="s">
        <v>61</v>
      </c>
      <c r="AF75" s="8" t="s">
        <v>57</v>
      </c>
    </row>
    <row r="76" spans="1:32">
      <c r="A76" s="5" t="s">
        <v>52</v>
      </c>
      <c r="B76" s="5">
        <v>91713</v>
      </c>
      <c r="C76" s="5" t="s">
        <v>290</v>
      </c>
      <c r="D76" s="5" t="s">
        <v>54</v>
      </c>
      <c r="E76" s="5">
        <v>72</v>
      </c>
      <c r="F76" s="5">
        <v>71.3</v>
      </c>
      <c r="G76" s="5">
        <v>71.23</v>
      </c>
      <c r="H76" s="5">
        <v>69.9999999999932</v>
      </c>
      <c r="I76" s="5">
        <v>11</v>
      </c>
      <c r="J76" s="5">
        <v>69</v>
      </c>
      <c r="K76" s="5">
        <v>24</v>
      </c>
      <c r="L76" s="5">
        <v>5.3</v>
      </c>
      <c r="M76" s="5">
        <v>2.9</v>
      </c>
      <c r="N76" s="5">
        <v>48</v>
      </c>
      <c r="O76" s="5">
        <v>16</v>
      </c>
      <c r="P76" s="5">
        <v>5</v>
      </c>
      <c r="Q76" s="5">
        <v>9</v>
      </c>
      <c r="R76" s="5" t="s">
        <v>297</v>
      </c>
      <c r="S76" s="5" t="s">
        <v>298</v>
      </c>
      <c r="T76" s="5" t="s">
        <v>57</v>
      </c>
      <c r="V76" s="5" t="s">
        <v>299</v>
      </c>
      <c r="W76" s="8">
        <v>0.36</v>
      </c>
      <c r="X76" s="8" t="s">
        <v>59</v>
      </c>
      <c r="Y76" s="8">
        <v>1.12</v>
      </c>
      <c r="Z76" s="8">
        <v>45</v>
      </c>
      <c r="AA76" s="8" t="s">
        <v>71</v>
      </c>
      <c r="AB76" s="8" t="s">
        <v>61</v>
      </c>
      <c r="AC76" s="8" t="s">
        <v>57</v>
      </c>
      <c r="AD76" s="8" t="s">
        <v>61</v>
      </c>
      <c r="AE76" s="8" t="s">
        <v>61</v>
      </c>
      <c r="AF76" s="8" t="s">
        <v>61</v>
      </c>
    </row>
    <row r="77" spans="1:32">
      <c r="A77" s="5" t="s">
        <v>52</v>
      </c>
      <c r="B77" s="5">
        <v>605455</v>
      </c>
      <c r="C77" s="5" t="s">
        <v>290</v>
      </c>
      <c r="D77" s="5" t="s">
        <v>54</v>
      </c>
      <c r="E77" s="5">
        <v>76</v>
      </c>
      <c r="F77" s="5">
        <v>95.66</v>
      </c>
      <c r="G77" s="5">
        <v>95.52</v>
      </c>
      <c r="H77" s="5">
        <v>140.000000000001</v>
      </c>
      <c r="I77" s="5">
        <v>7</v>
      </c>
      <c r="J77" s="5">
        <v>103</v>
      </c>
      <c r="K77" s="5">
        <v>26</v>
      </c>
      <c r="L77" s="5">
        <v>7.7</v>
      </c>
      <c r="M77" s="5">
        <v>3.9</v>
      </c>
      <c r="N77" s="5">
        <v>43</v>
      </c>
      <c r="O77" s="5">
        <v>16</v>
      </c>
      <c r="P77" s="5">
        <v>4</v>
      </c>
      <c r="Q77" s="5">
        <v>9</v>
      </c>
      <c r="R77" s="5" t="s">
        <v>300</v>
      </c>
      <c r="S77" s="5" t="s">
        <v>301</v>
      </c>
      <c r="T77" s="5" t="s">
        <v>57</v>
      </c>
      <c r="V77" s="5" t="s">
        <v>302</v>
      </c>
      <c r="W77" s="8">
        <v>0.87</v>
      </c>
      <c r="X77" s="8" t="s">
        <v>59</v>
      </c>
      <c r="Y77" s="8">
        <v>0.97</v>
      </c>
      <c r="Z77" s="8">
        <v>33</v>
      </c>
      <c r="AA77" s="8" t="s">
        <v>165</v>
      </c>
      <c r="AB77" s="8" t="s">
        <v>61</v>
      </c>
      <c r="AC77" s="8" t="s">
        <v>57</v>
      </c>
      <c r="AD77" s="8" t="s">
        <v>61</v>
      </c>
      <c r="AE77" s="8" t="s">
        <v>61</v>
      </c>
      <c r="AF77" s="8" t="s">
        <v>57</v>
      </c>
    </row>
    <row r="78" spans="1:32">
      <c r="A78" s="5" t="s">
        <v>52</v>
      </c>
      <c r="B78" s="5">
        <v>70679</v>
      </c>
      <c r="C78" s="5" t="s">
        <v>290</v>
      </c>
      <c r="D78" s="5" t="s">
        <v>54</v>
      </c>
      <c r="E78" s="5">
        <v>66</v>
      </c>
      <c r="F78" s="5">
        <v>84.23</v>
      </c>
      <c r="G78" s="5">
        <v>84.04</v>
      </c>
      <c r="H78" s="5">
        <v>189.999999999998</v>
      </c>
      <c r="I78" s="5">
        <v>10</v>
      </c>
      <c r="J78" s="5">
        <v>225</v>
      </c>
      <c r="K78" s="5">
        <v>33</v>
      </c>
      <c r="L78" s="5">
        <v>13.3</v>
      </c>
      <c r="M78" s="5">
        <v>6.9</v>
      </c>
      <c r="N78" s="5">
        <v>33</v>
      </c>
      <c r="O78" s="5">
        <v>19</v>
      </c>
      <c r="P78" s="5">
        <v>5</v>
      </c>
      <c r="Q78" s="5">
        <v>9</v>
      </c>
      <c r="R78" s="5" t="s">
        <v>303</v>
      </c>
      <c r="S78" s="5" t="s">
        <v>304</v>
      </c>
      <c r="T78" s="5" t="s">
        <v>57</v>
      </c>
      <c r="V78" s="5" t="s">
        <v>305</v>
      </c>
      <c r="W78" s="8">
        <v>2.32</v>
      </c>
      <c r="X78" s="8" t="s">
        <v>59</v>
      </c>
      <c r="Y78" s="8">
        <v>1.7</v>
      </c>
      <c r="Z78" s="8">
        <v>45</v>
      </c>
      <c r="AA78" s="8" t="s">
        <v>60</v>
      </c>
      <c r="AB78" s="8" t="s">
        <v>61</v>
      </c>
      <c r="AC78" s="8" t="s">
        <v>57</v>
      </c>
      <c r="AD78" s="8" t="s">
        <v>57</v>
      </c>
      <c r="AE78" s="8" t="s">
        <v>61</v>
      </c>
      <c r="AF78" s="8" t="s">
        <v>61</v>
      </c>
    </row>
    <row r="79" spans="1:32">
      <c r="A79" s="5" t="s">
        <v>52</v>
      </c>
      <c r="B79" s="5">
        <v>137012</v>
      </c>
      <c r="C79" s="5" t="s">
        <v>290</v>
      </c>
      <c r="D79" s="5" t="s">
        <v>54</v>
      </c>
      <c r="E79" s="5">
        <v>71</v>
      </c>
      <c r="F79" s="5">
        <v>79.9</v>
      </c>
      <c r="G79" s="5">
        <v>79.46</v>
      </c>
      <c r="H79" s="5">
        <v>440.000000000012</v>
      </c>
      <c r="I79" s="5">
        <v>8</v>
      </c>
      <c r="J79" s="5">
        <v>450</v>
      </c>
      <c r="K79" s="5">
        <v>31</v>
      </c>
      <c r="L79" s="5">
        <v>26.3</v>
      </c>
      <c r="M79" s="5">
        <v>14.6</v>
      </c>
      <c r="N79" s="5">
        <v>0</v>
      </c>
      <c r="O79" s="5">
        <v>1</v>
      </c>
      <c r="P79" s="5">
        <v>0</v>
      </c>
      <c r="Q79" s="5">
        <v>5</v>
      </c>
      <c r="R79" s="5" t="s">
        <v>306</v>
      </c>
      <c r="S79" s="5" t="s">
        <v>307</v>
      </c>
      <c r="T79" s="5" t="s">
        <v>57</v>
      </c>
      <c r="V79" s="5" t="s">
        <v>308</v>
      </c>
      <c r="W79" s="8">
        <v>0.2</v>
      </c>
      <c r="X79" s="8" t="s">
        <v>59</v>
      </c>
      <c r="Y79" s="8">
        <v>1.1</v>
      </c>
      <c r="Z79" s="8">
        <v>16</v>
      </c>
      <c r="AA79" s="8" t="s">
        <v>60</v>
      </c>
      <c r="AB79" s="8" t="s">
        <v>61</v>
      </c>
      <c r="AC79" s="8" t="s">
        <v>57</v>
      </c>
      <c r="AD79" s="8" t="s">
        <v>61</v>
      </c>
      <c r="AE79" s="8" t="s">
        <v>61</v>
      </c>
      <c r="AF79" s="8" t="s">
        <v>57</v>
      </c>
    </row>
    <row r="80" spans="1:32">
      <c r="A80" s="5" t="s">
        <v>52</v>
      </c>
      <c r="B80" s="5">
        <v>108126</v>
      </c>
      <c r="C80" s="5" t="s">
        <v>290</v>
      </c>
      <c r="D80" s="5" t="s">
        <v>54</v>
      </c>
      <c r="E80" s="5">
        <v>80</v>
      </c>
      <c r="F80" s="5">
        <v>86.63</v>
      </c>
      <c r="G80" s="5">
        <v>86.5</v>
      </c>
      <c r="H80" s="5">
        <v>129.999999999995</v>
      </c>
      <c r="I80" s="5">
        <v>10</v>
      </c>
      <c r="J80" s="5">
        <v>151</v>
      </c>
      <c r="K80" s="5">
        <v>32</v>
      </c>
      <c r="L80" s="5">
        <v>7.9</v>
      </c>
      <c r="M80" s="5">
        <v>4.8</v>
      </c>
      <c r="N80" s="5">
        <v>36</v>
      </c>
      <c r="O80" s="5">
        <v>13</v>
      </c>
      <c r="P80" s="5">
        <v>3</v>
      </c>
      <c r="Q80" s="5">
        <v>16</v>
      </c>
      <c r="R80" s="5" t="s">
        <v>309</v>
      </c>
      <c r="S80" s="5" t="s">
        <v>310</v>
      </c>
      <c r="T80" s="5" t="s">
        <v>57</v>
      </c>
      <c r="V80" s="5" t="s">
        <v>311</v>
      </c>
      <c r="W80" s="8">
        <v>0.84</v>
      </c>
      <c r="X80" s="8" t="s">
        <v>59</v>
      </c>
      <c r="Y80" s="8">
        <v>1.05</v>
      </c>
      <c r="Z80" s="8">
        <v>30</v>
      </c>
      <c r="AA80" s="8" t="s">
        <v>60</v>
      </c>
      <c r="AB80" s="8" t="s">
        <v>61</v>
      </c>
      <c r="AC80" s="8" t="s">
        <v>57</v>
      </c>
      <c r="AD80" s="8" t="s">
        <v>61</v>
      </c>
      <c r="AE80" s="8" t="s">
        <v>61</v>
      </c>
      <c r="AF80" s="8" t="s">
        <v>57</v>
      </c>
    </row>
    <row r="81" spans="1:32">
      <c r="A81" s="5" t="s">
        <v>52</v>
      </c>
      <c r="B81" s="5">
        <v>120996</v>
      </c>
      <c r="C81" s="5" t="s">
        <v>290</v>
      </c>
      <c r="D81" s="5" t="s">
        <v>54</v>
      </c>
      <c r="E81" s="5">
        <v>54</v>
      </c>
      <c r="F81" s="5">
        <v>83.65</v>
      </c>
      <c r="G81" s="5">
        <v>83.53</v>
      </c>
      <c r="H81" s="5">
        <v>120.000000000005</v>
      </c>
      <c r="I81" s="5">
        <v>4</v>
      </c>
      <c r="J81" s="5">
        <v>95</v>
      </c>
      <c r="K81" s="5">
        <v>28</v>
      </c>
      <c r="L81" s="5">
        <v>9</v>
      </c>
      <c r="M81" s="5">
        <v>3.4</v>
      </c>
      <c r="N81" s="5">
        <v>20</v>
      </c>
      <c r="O81" s="5">
        <v>5</v>
      </c>
      <c r="P81" s="5">
        <v>4</v>
      </c>
      <c r="Q81" s="5">
        <v>24</v>
      </c>
      <c r="R81" s="5" t="s">
        <v>312</v>
      </c>
      <c r="S81" s="5" t="s">
        <v>313</v>
      </c>
      <c r="T81" s="5" t="s">
        <v>57</v>
      </c>
      <c r="V81" s="5" t="s">
        <v>314</v>
      </c>
      <c r="W81" s="8">
        <v>3.44</v>
      </c>
      <c r="X81" s="11">
        <v>0.197</v>
      </c>
      <c r="Y81" s="8">
        <v>1.14</v>
      </c>
      <c r="Z81" s="8">
        <v>52</v>
      </c>
      <c r="AA81" s="8" t="s">
        <v>71</v>
      </c>
      <c r="AB81" s="8" t="s">
        <v>61</v>
      </c>
      <c r="AC81" s="8" t="s">
        <v>61</v>
      </c>
      <c r="AD81" s="8" t="s">
        <v>61</v>
      </c>
      <c r="AE81" s="8" t="s">
        <v>61</v>
      </c>
      <c r="AF81" s="8" t="s">
        <v>61</v>
      </c>
    </row>
    <row r="82" spans="1:32">
      <c r="A82" s="5" t="s">
        <v>52</v>
      </c>
      <c r="B82" s="5">
        <v>349688</v>
      </c>
      <c r="C82" s="5" t="s">
        <v>290</v>
      </c>
      <c r="D82" s="5" t="s">
        <v>54</v>
      </c>
      <c r="E82" s="5">
        <v>70</v>
      </c>
      <c r="F82" s="5">
        <v>87.22</v>
      </c>
      <c r="G82" s="5">
        <v>86.87</v>
      </c>
      <c r="H82" s="5">
        <v>349.999999999994</v>
      </c>
      <c r="I82" s="5">
        <v>21</v>
      </c>
      <c r="J82" s="5">
        <v>330</v>
      </c>
      <c r="K82" s="5">
        <v>64</v>
      </c>
      <c r="L82" s="5">
        <v>9.9</v>
      </c>
      <c r="M82" s="5">
        <v>5.1</v>
      </c>
      <c r="N82" s="5">
        <v>12</v>
      </c>
      <c r="O82" s="5">
        <v>19</v>
      </c>
      <c r="P82" s="5">
        <v>5</v>
      </c>
      <c r="Q82" s="5">
        <v>9</v>
      </c>
      <c r="R82" s="5" t="s">
        <v>315</v>
      </c>
      <c r="S82" s="5" t="s">
        <v>316</v>
      </c>
      <c r="T82" s="5" t="s">
        <v>57</v>
      </c>
      <c r="V82" s="5" t="s">
        <v>317</v>
      </c>
      <c r="W82" s="8">
        <v>0.78</v>
      </c>
      <c r="X82" s="8" t="s">
        <v>59</v>
      </c>
      <c r="Y82" s="8">
        <v>1.05</v>
      </c>
      <c r="Z82" s="8">
        <v>23</v>
      </c>
      <c r="AA82" s="8" t="s">
        <v>60</v>
      </c>
      <c r="AB82" s="8" t="s">
        <v>61</v>
      </c>
      <c r="AC82" s="8" t="s">
        <v>57</v>
      </c>
      <c r="AD82" s="8" t="s">
        <v>61</v>
      </c>
      <c r="AE82" s="8" t="s">
        <v>57</v>
      </c>
      <c r="AF82" s="8" t="s">
        <v>61</v>
      </c>
    </row>
    <row r="83" spans="1:32">
      <c r="A83" s="5" t="s">
        <v>52</v>
      </c>
      <c r="B83" s="5">
        <v>405487</v>
      </c>
      <c r="C83" s="5" t="s">
        <v>290</v>
      </c>
      <c r="D83" s="5" t="s">
        <v>54</v>
      </c>
      <c r="E83" s="5">
        <v>68</v>
      </c>
      <c r="F83" s="5">
        <v>73.08</v>
      </c>
      <c r="G83" s="5">
        <v>72.88</v>
      </c>
      <c r="H83" s="5">
        <v>200.000000000003</v>
      </c>
      <c r="I83" s="5">
        <v>7</v>
      </c>
      <c r="J83" s="5">
        <v>195</v>
      </c>
      <c r="K83" s="5">
        <v>35</v>
      </c>
      <c r="L83" s="5">
        <v>12.7</v>
      </c>
      <c r="M83" s="5">
        <v>5.6</v>
      </c>
      <c r="N83" s="5">
        <v>38</v>
      </c>
      <c r="O83" s="5">
        <v>3</v>
      </c>
      <c r="P83" s="5">
        <v>1</v>
      </c>
      <c r="Q83" s="5">
        <v>24</v>
      </c>
      <c r="R83" s="5" t="s">
        <v>318</v>
      </c>
      <c r="S83" s="5" t="s">
        <v>319</v>
      </c>
      <c r="T83" s="5" t="s">
        <v>57</v>
      </c>
      <c r="V83" s="5" t="s">
        <v>320</v>
      </c>
      <c r="W83" s="8">
        <v>3.79</v>
      </c>
      <c r="X83" s="11">
        <v>0.249</v>
      </c>
      <c r="Y83" s="8">
        <v>0.8</v>
      </c>
      <c r="Z83" s="8">
        <v>108</v>
      </c>
      <c r="AA83" s="8" t="s">
        <v>68</v>
      </c>
      <c r="AB83" s="8" t="s">
        <v>61</v>
      </c>
      <c r="AC83" s="8" t="s">
        <v>57</v>
      </c>
      <c r="AD83" s="8" t="s">
        <v>61</v>
      </c>
      <c r="AE83" s="8" t="s">
        <v>61</v>
      </c>
      <c r="AF83" s="8" t="s">
        <v>57</v>
      </c>
    </row>
    <row r="84" spans="1:32">
      <c r="A84" s="5" t="s">
        <v>52</v>
      </c>
      <c r="B84" s="5">
        <v>368070</v>
      </c>
      <c r="C84" s="5" t="s">
        <v>321</v>
      </c>
      <c r="D84" s="5" t="s">
        <v>54</v>
      </c>
      <c r="E84" s="5">
        <v>59</v>
      </c>
      <c r="F84" s="5">
        <v>89.69</v>
      </c>
      <c r="G84" s="5">
        <v>89.39</v>
      </c>
      <c r="H84" s="5">
        <v>299.999999999997</v>
      </c>
      <c r="I84" s="5">
        <v>6</v>
      </c>
      <c r="J84" s="5">
        <v>300</v>
      </c>
      <c r="K84" s="5">
        <v>23</v>
      </c>
      <c r="L84" s="5">
        <v>18.3</v>
      </c>
      <c r="M84" s="5">
        <v>12.9</v>
      </c>
      <c r="N84" s="5">
        <v>0</v>
      </c>
      <c r="O84" s="5">
        <v>3</v>
      </c>
      <c r="P84" s="5">
        <v>0</v>
      </c>
      <c r="Q84" s="5">
        <v>5</v>
      </c>
      <c r="R84" s="5" t="s">
        <v>322</v>
      </c>
      <c r="S84" s="5" t="s">
        <v>323</v>
      </c>
      <c r="T84" s="5" t="s">
        <v>57</v>
      </c>
      <c r="V84" s="5" t="s">
        <v>324</v>
      </c>
      <c r="W84" s="5" t="s">
        <v>325</v>
      </c>
      <c r="X84" s="5" t="s">
        <v>59</v>
      </c>
      <c r="Y84" s="5">
        <v>0.81</v>
      </c>
      <c r="Z84" s="5" t="s">
        <v>59</v>
      </c>
      <c r="AA84" s="5" t="s">
        <v>59</v>
      </c>
      <c r="AB84" s="5" t="s">
        <v>61</v>
      </c>
      <c r="AC84" s="5" t="s">
        <v>61</v>
      </c>
      <c r="AD84" s="5" t="s">
        <v>61</v>
      </c>
      <c r="AE84" s="5" t="s">
        <v>61</v>
      </c>
      <c r="AF84" s="5" t="s">
        <v>61</v>
      </c>
    </row>
    <row r="85" spans="1:33">
      <c r="A85" s="5" t="s">
        <v>326</v>
      </c>
      <c r="B85" s="5">
        <v>304987</v>
      </c>
      <c r="C85" s="5" t="s">
        <v>327</v>
      </c>
      <c r="D85" s="5" t="s">
        <v>54</v>
      </c>
      <c r="E85" s="5">
        <v>54</v>
      </c>
      <c r="F85" s="5">
        <v>69.15</v>
      </c>
      <c r="G85" s="5">
        <v>68.9</v>
      </c>
      <c r="H85" s="5">
        <v>250</v>
      </c>
      <c r="I85" s="5">
        <v>7</v>
      </c>
      <c r="J85" s="5">
        <v>233</v>
      </c>
      <c r="K85" s="5">
        <v>34</v>
      </c>
      <c r="L85" s="5">
        <v>12.6</v>
      </c>
      <c r="M85" s="5">
        <v>7.1</v>
      </c>
      <c r="N85" s="5">
        <v>0</v>
      </c>
      <c r="O85" s="5">
        <v>10</v>
      </c>
      <c r="P85" s="5">
        <v>1</v>
      </c>
      <c r="Q85" s="5">
        <v>24</v>
      </c>
      <c r="R85" s="5" t="s">
        <v>328</v>
      </c>
      <c r="S85" s="5" t="s">
        <v>329</v>
      </c>
      <c r="T85" s="5" t="s">
        <v>57</v>
      </c>
      <c r="V85" s="5" t="s">
        <v>330</v>
      </c>
      <c r="W85" s="5" t="s">
        <v>331</v>
      </c>
      <c r="X85" s="5" t="s">
        <v>59</v>
      </c>
      <c r="Y85" s="5">
        <v>1.01</v>
      </c>
      <c r="Z85" s="5" t="s">
        <v>332</v>
      </c>
      <c r="AA85" s="5" t="s">
        <v>59</v>
      </c>
      <c r="AB85" s="5" t="s">
        <v>59</v>
      </c>
      <c r="AC85" s="5" t="s">
        <v>61</v>
      </c>
      <c r="AD85" s="5" t="s">
        <v>61</v>
      </c>
      <c r="AE85" s="5" t="s">
        <v>61</v>
      </c>
      <c r="AF85" s="5" t="s">
        <v>61</v>
      </c>
      <c r="AG85" s="14"/>
    </row>
    <row r="86" spans="1:33">
      <c r="A86" s="5" t="s">
        <v>326</v>
      </c>
      <c r="B86" s="5">
        <v>358997</v>
      </c>
      <c r="C86" s="5" t="s">
        <v>327</v>
      </c>
      <c r="D86" s="5" t="s">
        <v>54</v>
      </c>
      <c r="E86" s="5">
        <v>26</v>
      </c>
      <c r="F86" s="5">
        <v>71.65</v>
      </c>
      <c r="G86" s="5">
        <v>71.45</v>
      </c>
      <c r="H86" s="5">
        <v>200.000000000003</v>
      </c>
      <c r="I86" s="5">
        <v>7</v>
      </c>
      <c r="J86" s="5">
        <v>155</v>
      </c>
      <c r="K86" s="5">
        <v>26</v>
      </c>
      <c r="L86" s="5">
        <v>11.1</v>
      </c>
      <c r="M86" s="5">
        <v>5.9</v>
      </c>
      <c r="N86" s="5">
        <v>10</v>
      </c>
      <c r="O86" s="5">
        <v>0</v>
      </c>
      <c r="P86" s="5">
        <v>0</v>
      </c>
      <c r="Q86" s="5">
        <v>25</v>
      </c>
      <c r="R86" s="5" t="s">
        <v>333</v>
      </c>
      <c r="S86" s="5" t="s">
        <v>334</v>
      </c>
      <c r="T86" s="5" t="s">
        <v>57</v>
      </c>
      <c r="U86" s="5" t="s">
        <v>148</v>
      </c>
      <c r="V86" s="5" t="s">
        <v>335</v>
      </c>
      <c r="W86" s="5" t="s">
        <v>59</v>
      </c>
      <c r="X86" s="5" t="s">
        <v>59</v>
      </c>
      <c r="Y86" s="5">
        <v>1.01</v>
      </c>
      <c r="Z86" s="5" t="s">
        <v>332</v>
      </c>
      <c r="AA86" s="5" t="s">
        <v>59</v>
      </c>
      <c r="AB86" s="5" t="s">
        <v>59</v>
      </c>
      <c r="AC86" s="5" t="s">
        <v>61</v>
      </c>
      <c r="AD86" s="5" t="s">
        <v>61</v>
      </c>
      <c r="AE86" s="5" t="s">
        <v>61</v>
      </c>
      <c r="AF86" s="5" t="s">
        <v>61</v>
      </c>
      <c r="AG86" s="14"/>
    </row>
    <row r="87" spans="1:33">
      <c r="A87" s="5" t="s">
        <v>326</v>
      </c>
      <c r="B87" s="5">
        <v>134804</v>
      </c>
      <c r="C87" s="5" t="s">
        <v>327</v>
      </c>
      <c r="D87" s="5" t="s">
        <v>54</v>
      </c>
      <c r="E87" s="5">
        <v>58</v>
      </c>
      <c r="F87" s="5">
        <v>73.24</v>
      </c>
      <c r="G87" s="5">
        <v>72.76</v>
      </c>
      <c r="H87" s="5">
        <v>479.99999999999</v>
      </c>
      <c r="I87" s="5">
        <v>5</v>
      </c>
      <c r="J87" s="5">
        <v>469</v>
      </c>
      <c r="K87" s="5">
        <v>28</v>
      </c>
      <c r="L87" s="5">
        <v>26.7</v>
      </c>
      <c r="M87" s="5">
        <v>17.4</v>
      </c>
      <c r="N87" s="5">
        <v>10</v>
      </c>
      <c r="O87" s="5">
        <v>3</v>
      </c>
      <c r="P87" s="5">
        <v>0</v>
      </c>
      <c r="Q87" s="5">
        <v>23</v>
      </c>
      <c r="R87" s="5" t="s">
        <v>336</v>
      </c>
      <c r="S87" s="5" t="s">
        <v>337</v>
      </c>
      <c r="T87" s="5" t="s">
        <v>57</v>
      </c>
      <c r="V87" s="5" t="s">
        <v>338</v>
      </c>
      <c r="W87" s="5" t="s">
        <v>59</v>
      </c>
      <c r="X87" s="5" t="s">
        <v>59</v>
      </c>
      <c r="Y87" s="5">
        <v>1.13</v>
      </c>
      <c r="Z87" s="5" t="s">
        <v>332</v>
      </c>
      <c r="AA87" s="5" t="s">
        <v>59</v>
      </c>
      <c r="AB87" s="5" t="s">
        <v>59</v>
      </c>
      <c r="AC87" s="5" t="s">
        <v>61</v>
      </c>
      <c r="AD87" s="5" t="s">
        <v>61</v>
      </c>
      <c r="AE87" s="5" t="s">
        <v>61</v>
      </c>
      <c r="AF87" s="5" t="s">
        <v>61</v>
      </c>
      <c r="AG87" s="14"/>
    </row>
    <row r="88" spans="1:33">
      <c r="A88" s="5" t="s">
        <v>326</v>
      </c>
      <c r="B88" s="5">
        <v>1</v>
      </c>
      <c r="C88" s="5" t="s">
        <v>339</v>
      </c>
      <c r="D88" s="5" t="s">
        <v>54</v>
      </c>
      <c r="E88" s="5">
        <v>62</v>
      </c>
      <c r="F88" s="5">
        <v>116.49</v>
      </c>
      <c r="G88" s="5">
        <v>116.38</v>
      </c>
      <c r="H88" s="5">
        <v>109.999999999999</v>
      </c>
      <c r="I88" s="5">
        <v>6</v>
      </c>
      <c r="J88" s="5">
        <v>116</v>
      </c>
      <c r="K88" s="5">
        <v>35</v>
      </c>
      <c r="L88" s="5">
        <v>11</v>
      </c>
      <c r="M88" s="5">
        <v>3.7</v>
      </c>
      <c r="N88" s="5">
        <v>20</v>
      </c>
      <c r="O88" s="5">
        <v>7</v>
      </c>
      <c r="P88" s="5">
        <v>1</v>
      </c>
      <c r="Q88" s="5">
        <v>18</v>
      </c>
      <c r="R88" s="5" t="s">
        <v>340</v>
      </c>
      <c r="S88" s="5" t="s">
        <v>341</v>
      </c>
      <c r="T88" s="5" t="s">
        <v>57</v>
      </c>
      <c r="V88" s="5" t="s">
        <v>342</v>
      </c>
      <c r="W88" s="5" t="s">
        <v>59</v>
      </c>
      <c r="X88" s="5" t="s">
        <v>59</v>
      </c>
      <c r="Y88" s="5" t="s">
        <v>59</v>
      </c>
      <c r="Z88" s="5" t="s">
        <v>332</v>
      </c>
      <c r="AA88" s="5" t="s">
        <v>59</v>
      </c>
      <c r="AB88" s="5" t="s">
        <v>59</v>
      </c>
      <c r="AC88" s="5" t="s">
        <v>61</v>
      </c>
      <c r="AD88" s="5" t="s">
        <v>61</v>
      </c>
      <c r="AE88" s="5" t="s">
        <v>61</v>
      </c>
      <c r="AF88" s="5" t="s">
        <v>61</v>
      </c>
      <c r="AG88" s="14"/>
    </row>
    <row r="89" spans="1:33">
      <c r="A89" s="5" t="s">
        <v>326</v>
      </c>
      <c r="B89" s="5">
        <v>330009</v>
      </c>
      <c r="C89" s="5" t="s">
        <v>339</v>
      </c>
      <c r="D89" s="5" t="s">
        <v>54</v>
      </c>
      <c r="E89" s="5">
        <v>39</v>
      </c>
      <c r="F89" s="5">
        <v>62.13</v>
      </c>
      <c r="G89" s="5">
        <v>61.8</v>
      </c>
      <c r="H89" s="5">
        <v>330.000000000005</v>
      </c>
      <c r="I89" s="5">
        <v>6</v>
      </c>
      <c r="J89" s="5">
        <v>282</v>
      </c>
      <c r="K89" s="5">
        <v>23</v>
      </c>
      <c r="L89" s="5">
        <v>21.9</v>
      </c>
      <c r="M89" s="5">
        <v>13.6</v>
      </c>
      <c r="N89" s="5">
        <v>9</v>
      </c>
      <c r="O89" s="5">
        <v>4</v>
      </c>
      <c r="P89" s="5">
        <v>0</v>
      </c>
      <c r="Q89" s="5">
        <v>25</v>
      </c>
      <c r="R89" s="5" t="s">
        <v>343</v>
      </c>
      <c r="S89" s="5" t="s">
        <v>344</v>
      </c>
      <c r="T89" s="5" t="s">
        <v>57</v>
      </c>
      <c r="V89" s="5" t="s">
        <v>345</v>
      </c>
      <c r="W89" s="5" t="s">
        <v>346</v>
      </c>
      <c r="X89" s="5" t="s">
        <v>59</v>
      </c>
      <c r="Y89" s="5" t="s">
        <v>347</v>
      </c>
      <c r="Z89" s="5" t="s">
        <v>348</v>
      </c>
      <c r="AA89" s="5" t="s">
        <v>59</v>
      </c>
      <c r="AB89" s="5" t="s">
        <v>59</v>
      </c>
      <c r="AC89" s="5" t="s">
        <v>61</v>
      </c>
      <c r="AD89" s="5" t="s">
        <v>61</v>
      </c>
      <c r="AE89" s="5" t="s">
        <v>61</v>
      </c>
      <c r="AF89" s="5" t="s">
        <v>61</v>
      </c>
      <c r="AG89" s="14"/>
    </row>
    <row r="90" spans="1:33">
      <c r="A90" s="5" t="s">
        <v>326</v>
      </c>
      <c r="B90" s="5">
        <v>76129</v>
      </c>
      <c r="C90" s="5" t="s">
        <v>349</v>
      </c>
      <c r="D90" s="5" t="s">
        <v>54</v>
      </c>
      <c r="E90" s="5">
        <v>56</v>
      </c>
      <c r="F90" s="5">
        <v>86.77</v>
      </c>
      <c r="G90" s="5">
        <v>86.25</v>
      </c>
      <c r="H90" s="5">
        <v>519.999999999996</v>
      </c>
      <c r="I90" s="5">
        <v>13</v>
      </c>
      <c r="J90" s="5">
        <v>512</v>
      </c>
      <c r="K90" s="5">
        <v>90</v>
      </c>
      <c r="L90" s="5">
        <v>11.4</v>
      </c>
      <c r="M90" s="5">
        <v>5.7</v>
      </c>
      <c r="N90" s="5">
        <v>66</v>
      </c>
      <c r="O90" s="5">
        <v>14</v>
      </c>
      <c r="P90" s="5">
        <v>5</v>
      </c>
      <c r="Q90" s="5">
        <v>21</v>
      </c>
      <c r="R90" s="5" t="s">
        <v>350</v>
      </c>
      <c r="S90" s="5" t="s">
        <v>351</v>
      </c>
      <c r="T90" s="5" t="s">
        <v>57</v>
      </c>
      <c r="V90" s="5" t="s">
        <v>352</v>
      </c>
      <c r="W90" s="5" t="s">
        <v>59</v>
      </c>
      <c r="X90" s="5" t="s">
        <v>59</v>
      </c>
      <c r="Y90" s="5" t="s">
        <v>353</v>
      </c>
      <c r="Z90" s="5" t="s">
        <v>354</v>
      </c>
      <c r="AA90" s="5" t="s">
        <v>59</v>
      </c>
      <c r="AB90" s="5" t="s">
        <v>59</v>
      </c>
      <c r="AC90" s="5" t="s">
        <v>61</v>
      </c>
      <c r="AD90" s="5" t="s">
        <v>61</v>
      </c>
      <c r="AE90" s="5" t="s">
        <v>61</v>
      </c>
      <c r="AF90" s="5" t="s">
        <v>61</v>
      </c>
      <c r="AG90" s="14"/>
    </row>
    <row r="91" spans="1:33">
      <c r="A91" s="5" t="s">
        <v>326</v>
      </c>
      <c r="B91" s="5">
        <v>201739</v>
      </c>
      <c r="C91" s="5" t="s">
        <v>349</v>
      </c>
      <c r="D91" s="5" t="s">
        <v>54</v>
      </c>
      <c r="E91" s="5">
        <v>67</v>
      </c>
      <c r="F91" s="5">
        <v>78.58</v>
      </c>
      <c r="G91" s="5">
        <v>78.28</v>
      </c>
      <c r="H91" s="5">
        <v>299.999999999997</v>
      </c>
      <c r="I91" s="5">
        <v>7</v>
      </c>
      <c r="J91" s="5">
        <v>285</v>
      </c>
      <c r="K91" s="5">
        <v>31</v>
      </c>
      <c r="L91" s="5">
        <v>18.8</v>
      </c>
      <c r="M91" s="5">
        <v>9.6</v>
      </c>
      <c r="N91" s="5">
        <v>36</v>
      </c>
      <c r="O91" s="5">
        <v>12</v>
      </c>
      <c r="P91" s="5">
        <v>4</v>
      </c>
      <c r="Q91" s="5">
        <v>11</v>
      </c>
      <c r="R91" s="5" t="s">
        <v>355</v>
      </c>
      <c r="S91" s="5" t="s">
        <v>356</v>
      </c>
      <c r="T91" s="5" t="s">
        <v>57</v>
      </c>
      <c r="V91" s="5" t="s">
        <v>357</v>
      </c>
      <c r="W91" s="5" t="s">
        <v>358</v>
      </c>
      <c r="X91" s="5" t="s">
        <v>59</v>
      </c>
      <c r="Y91" s="5" t="s">
        <v>359</v>
      </c>
      <c r="Z91" s="5" t="s">
        <v>332</v>
      </c>
      <c r="AA91" s="5" t="s">
        <v>59</v>
      </c>
      <c r="AB91" s="5" t="s">
        <v>59</v>
      </c>
      <c r="AC91" s="5" t="s">
        <v>61</v>
      </c>
      <c r="AD91" s="5" t="s">
        <v>61</v>
      </c>
      <c r="AE91" s="5" t="s">
        <v>61</v>
      </c>
      <c r="AF91" s="5" t="s">
        <v>61</v>
      </c>
      <c r="AG91" s="14"/>
    </row>
    <row r="92" spans="1:33">
      <c r="A92" s="5" t="s">
        <v>326</v>
      </c>
      <c r="B92" s="5">
        <v>480614</v>
      </c>
      <c r="C92" s="5" t="s">
        <v>349</v>
      </c>
      <c r="D92" s="5" t="s">
        <v>54</v>
      </c>
      <c r="E92" s="5">
        <v>71</v>
      </c>
      <c r="F92" s="5">
        <v>89.26</v>
      </c>
      <c r="G92" s="5">
        <v>88.74</v>
      </c>
      <c r="H92" s="5">
        <v>520.00000000001</v>
      </c>
      <c r="I92" s="5">
        <v>6</v>
      </c>
      <c r="J92" s="5">
        <v>288</v>
      </c>
      <c r="K92" s="5">
        <v>38</v>
      </c>
      <c r="L92" s="5">
        <v>18</v>
      </c>
      <c r="M92" s="5">
        <v>7.8</v>
      </c>
      <c r="N92" s="5">
        <v>86</v>
      </c>
      <c r="O92" s="5">
        <v>5</v>
      </c>
      <c r="P92" s="5">
        <v>2</v>
      </c>
      <c r="Q92" s="5">
        <v>7</v>
      </c>
      <c r="R92" s="5" t="s">
        <v>360</v>
      </c>
      <c r="S92" s="5" t="s">
        <v>361</v>
      </c>
      <c r="T92" s="5" t="s">
        <v>57</v>
      </c>
      <c r="V92" s="5" t="s">
        <v>362</v>
      </c>
      <c r="W92" s="5" t="s">
        <v>363</v>
      </c>
      <c r="X92" s="5" t="s">
        <v>59</v>
      </c>
      <c r="Y92" s="5" t="s">
        <v>364</v>
      </c>
      <c r="Z92" s="5" t="s">
        <v>365</v>
      </c>
      <c r="AA92" s="5" t="s">
        <v>59</v>
      </c>
      <c r="AB92" s="5" t="s">
        <v>59</v>
      </c>
      <c r="AC92" s="5" t="s">
        <v>61</v>
      </c>
      <c r="AD92" s="5" t="s">
        <v>61</v>
      </c>
      <c r="AE92" s="5" t="s">
        <v>61</v>
      </c>
      <c r="AF92" s="5" t="s">
        <v>61</v>
      </c>
      <c r="AG92" s="14"/>
    </row>
    <row r="93" spans="1:33">
      <c r="A93" s="5" t="s">
        <v>326</v>
      </c>
      <c r="B93" s="5">
        <v>654123</v>
      </c>
      <c r="C93" s="5" t="s">
        <v>349</v>
      </c>
      <c r="D93" s="5" t="s">
        <v>54</v>
      </c>
      <c r="E93" s="5">
        <v>69</v>
      </c>
      <c r="F93" s="5">
        <v>79.64</v>
      </c>
      <c r="G93" s="5">
        <v>79.22</v>
      </c>
      <c r="H93" s="5">
        <v>420.000000000002</v>
      </c>
      <c r="I93" s="5">
        <v>7</v>
      </c>
      <c r="J93" s="5">
        <v>408</v>
      </c>
      <c r="K93" s="5">
        <v>36</v>
      </c>
      <c r="L93" s="5">
        <v>20.6</v>
      </c>
      <c r="M93" s="5">
        <v>11.3</v>
      </c>
      <c r="N93" s="5">
        <v>51</v>
      </c>
      <c r="O93" s="5">
        <v>6</v>
      </c>
      <c r="P93" s="5">
        <v>3</v>
      </c>
      <c r="Q93" s="5">
        <v>21</v>
      </c>
      <c r="R93" s="5" t="s">
        <v>366</v>
      </c>
      <c r="S93" s="5" t="s">
        <v>367</v>
      </c>
      <c r="T93" s="5" t="s">
        <v>57</v>
      </c>
      <c r="V93" s="5" t="s">
        <v>368</v>
      </c>
      <c r="W93" s="5" t="s">
        <v>59</v>
      </c>
      <c r="X93" s="5" t="s">
        <v>59</v>
      </c>
      <c r="Y93" s="5" t="s">
        <v>369</v>
      </c>
      <c r="Z93" s="5" t="s">
        <v>370</v>
      </c>
      <c r="AA93" s="5" t="s">
        <v>59</v>
      </c>
      <c r="AB93" s="5" t="s">
        <v>59</v>
      </c>
      <c r="AC93" s="5" t="s">
        <v>61</v>
      </c>
      <c r="AD93" s="5" t="s">
        <v>61</v>
      </c>
      <c r="AE93" s="5" t="s">
        <v>61</v>
      </c>
      <c r="AF93" s="5" t="s">
        <v>61</v>
      </c>
      <c r="AG93" s="14"/>
    </row>
    <row r="94" spans="1:33">
      <c r="A94" s="5" t="s">
        <v>326</v>
      </c>
      <c r="B94" s="5">
        <v>682261</v>
      </c>
      <c r="C94" s="5" t="s">
        <v>349</v>
      </c>
      <c r="D94" s="5" t="s">
        <v>54</v>
      </c>
      <c r="E94" s="5">
        <v>34</v>
      </c>
      <c r="F94" s="5">
        <v>74.33</v>
      </c>
      <c r="G94" s="5">
        <v>73.66</v>
      </c>
      <c r="H94" s="5">
        <v>670.000000000002</v>
      </c>
      <c r="I94" s="5">
        <v>6</v>
      </c>
      <c r="J94" s="5">
        <v>697</v>
      </c>
      <c r="K94" s="5">
        <v>39</v>
      </c>
      <c r="L94" s="5">
        <v>32.6</v>
      </c>
      <c r="M94" s="5">
        <v>17.9</v>
      </c>
      <c r="N94" s="5">
        <v>0</v>
      </c>
      <c r="O94" s="5">
        <v>3</v>
      </c>
      <c r="P94" s="5">
        <v>5</v>
      </c>
      <c r="Q94" s="5">
        <v>21</v>
      </c>
      <c r="R94" s="5" t="s">
        <v>371</v>
      </c>
      <c r="S94" s="5" t="s">
        <v>372</v>
      </c>
      <c r="T94" s="5" t="s">
        <v>57</v>
      </c>
      <c r="V94" s="5" t="s">
        <v>373</v>
      </c>
      <c r="W94" s="5" t="s">
        <v>59</v>
      </c>
      <c r="X94" s="5" t="s">
        <v>59</v>
      </c>
      <c r="Y94" s="5" t="s">
        <v>374</v>
      </c>
      <c r="Z94" s="5" t="s">
        <v>332</v>
      </c>
      <c r="AA94" s="5" t="s">
        <v>59</v>
      </c>
      <c r="AB94" s="5" t="s">
        <v>59</v>
      </c>
      <c r="AC94" s="5" t="s">
        <v>61</v>
      </c>
      <c r="AD94" s="5" t="s">
        <v>61</v>
      </c>
      <c r="AE94" s="5" t="s">
        <v>61</v>
      </c>
      <c r="AF94" s="5" t="s">
        <v>61</v>
      </c>
      <c r="AG94" s="14"/>
    </row>
    <row r="95" spans="1:33">
      <c r="A95" s="5" t="s">
        <v>326</v>
      </c>
      <c r="B95" s="5">
        <v>484629</v>
      </c>
      <c r="C95" s="14" t="s">
        <v>349</v>
      </c>
      <c r="D95" s="5" t="s">
        <v>54</v>
      </c>
      <c r="E95" s="5">
        <v>55</v>
      </c>
      <c r="F95" s="15">
        <v>100.984</v>
      </c>
      <c r="G95" s="5">
        <v>100.934</v>
      </c>
      <c r="H95" s="5">
        <v>50</v>
      </c>
      <c r="I95" s="5">
        <v>47</v>
      </c>
      <c r="J95" s="5">
        <v>4</v>
      </c>
      <c r="K95" s="5">
        <v>72</v>
      </c>
      <c r="L95" s="5">
        <v>4.2</v>
      </c>
      <c r="M95" s="5">
        <v>2</v>
      </c>
      <c r="N95" s="5">
        <v>278.6</v>
      </c>
      <c r="O95" s="5">
        <v>4</v>
      </c>
      <c r="P95" s="5">
        <v>2</v>
      </c>
      <c r="Q95" s="5">
        <v>5</v>
      </c>
      <c r="R95" s="4" t="s">
        <v>375</v>
      </c>
      <c r="S95" s="4" t="s">
        <v>376</v>
      </c>
      <c r="T95" s="4" t="s">
        <v>377</v>
      </c>
      <c r="U95" s="4"/>
      <c r="V95" s="4" t="s">
        <v>378</v>
      </c>
      <c r="W95" s="5" t="s">
        <v>379</v>
      </c>
      <c r="X95" s="5" t="s">
        <v>59</v>
      </c>
      <c r="Y95" s="5" t="s">
        <v>380</v>
      </c>
      <c r="Z95" s="5" t="s">
        <v>381</v>
      </c>
      <c r="AA95" s="5" t="s">
        <v>59</v>
      </c>
      <c r="AB95" s="5" t="s">
        <v>59</v>
      </c>
      <c r="AC95" s="5" t="s">
        <v>61</v>
      </c>
      <c r="AD95" s="5" t="s">
        <v>61</v>
      </c>
      <c r="AE95" s="5" t="s">
        <v>61</v>
      </c>
      <c r="AF95" s="5" t="s">
        <v>61</v>
      </c>
      <c r="AG95" s="14"/>
    </row>
    <row r="96" spans="1:33">
      <c r="A96" s="5" t="s">
        <v>326</v>
      </c>
      <c r="B96" s="5">
        <v>1131557</v>
      </c>
      <c r="C96" s="5" t="s">
        <v>349</v>
      </c>
      <c r="D96" s="5" t="s">
        <v>54</v>
      </c>
      <c r="E96" s="5">
        <v>52</v>
      </c>
      <c r="F96" s="5">
        <v>73.37</v>
      </c>
      <c r="G96" s="5">
        <v>73.16</v>
      </c>
      <c r="H96" s="5">
        <v>210.000000000008</v>
      </c>
      <c r="I96" s="5">
        <v>19</v>
      </c>
      <c r="J96" s="5">
        <v>204</v>
      </c>
      <c r="K96" s="5">
        <v>46</v>
      </c>
      <c r="L96" s="5">
        <v>9.4</v>
      </c>
      <c r="M96" s="5">
        <v>4.5</v>
      </c>
      <c r="N96" s="5">
        <v>50</v>
      </c>
      <c r="O96" s="5">
        <v>6</v>
      </c>
      <c r="P96" s="5">
        <v>0</v>
      </c>
      <c r="Q96" s="5">
        <v>25</v>
      </c>
      <c r="R96" s="5" t="s">
        <v>382</v>
      </c>
      <c r="S96" s="5" t="s">
        <v>383</v>
      </c>
      <c r="T96" s="5" t="s">
        <v>57</v>
      </c>
      <c r="V96" s="5" t="s">
        <v>384</v>
      </c>
      <c r="W96" s="5" t="s">
        <v>59</v>
      </c>
      <c r="X96" s="5" t="s">
        <v>59</v>
      </c>
      <c r="Y96" s="5" t="s">
        <v>385</v>
      </c>
      <c r="Z96" s="5" t="s">
        <v>386</v>
      </c>
      <c r="AA96" s="5" t="s">
        <v>59</v>
      </c>
      <c r="AB96" s="5" t="s">
        <v>59</v>
      </c>
      <c r="AC96" s="5" t="s">
        <v>61</v>
      </c>
      <c r="AD96" s="5" t="s">
        <v>61</v>
      </c>
      <c r="AE96" s="5" t="s">
        <v>61</v>
      </c>
      <c r="AF96" s="5" t="s">
        <v>61</v>
      </c>
      <c r="AG96" s="14"/>
    </row>
    <row r="97" spans="1:33">
      <c r="A97" s="5" t="s">
        <v>326</v>
      </c>
      <c r="B97" s="5">
        <v>86518</v>
      </c>
      <c r="C97" s="5" t="s">
        <v>387</v>
      </c>
      <c r="D97" s="5" t="s">
        <v>54</v>
      </c>
      <c r="E97" s="5">
        <v>75</v>
      </c>
      <c r="F97" s="5">
        <v>74.16</v>
      </c>
      <c r="G97" s="5">
        <v>73.82</v>
      </c>
      <c r="H97" s="5">
        <v>340.000000000003</v>
      </c>
      <c r="I97" s="5">
        <v>10</v>
      </c>
      <c r="J97" s="5">
        <v>256</v>
      </c>
      <c r="K97" s="5">
        <v>29</v>
      </c>
      <c r="L97" s="5">
        <v>17.4</v>
      </c>
      <c r="M97" s="5">
        <v>8.7</v>
      </c>
      <c r="N97" s="5">
        <v>22</v>
      </c>
      <c r="O97" s="5">
        <v>11</v>
      </c>
      <c r="P97" s="5">
        <v>4</v>
      </c>
      <c r="Q97" s="5">
        <v>10</v>
      </c>
      <c r="R97" s="5" t="s">
        <v>388</v>
      </c>
      <c r="S97" s="5" t="s">
        <v>389</v>
      </c>
      <c r="T97" s="5" t="s">
        <v>57</v>
      </c>
      <c r="V97" s="5" t="s">
        <v>390</v>
      </c>
      <c r="W97" s="5" t="s">
        <v>391</v>
      </c>
      <c r="X97" s="5" t="s">
        <v>59</v>
      </c>
      <c r="Y97" s="5" t="s">
        <v>392</v>
      </c>
      <c r="Z97" s="5" t="s">
        <v>393</v>
      </c>
      <c r="AA97" s="5" t="s">
        <v>59</v>
      </c>
      <c r="AB97" s="5" t="s">
        <v>59</v>
      </c>
      <c r="AC97" s="5" t="s">
        <v>61</v>
      </c>
      <c r="AD97" s="5" t="s">
        <v>61</v>
      </c>
      <c r="AE97" s="5" t="s">
        <v>61</v>
      </c>
      <c r="AF97" s="5" t="s">
        <v>61</v>
      </c>
      <c r="AG97" s="14"/>
    </row>
    <row r="98" spans="1:33">
      <c r="A98" s="5" t="s">
        <v>326</v>
      </c>
      <c r="B98" s="5">
        <v>144913</v>
      </c>
      <c r="C98" s="5" t="s">
        <v>387</v>
      </c>
      <c r="D98" s="5" t="s">
        <v>54</v>
      </c>
      <c r="E98" s="5">
        <v>74</v>
      </c>
      <c r="F98" s="5">
        <v>82.95</v>
      </c>
      <c r="G98" s="5">
        <v>82.9</v>
      </c>
      <c r="H98" s="5">
        <v>49.9999999999972</v>
      </c>
      <c r="I98" s="5">
        <v>3</v>
      </c>
      <c r="J98" s="5">
        <v>38</v>
      </c>
      <c r="K98" s="5">
        <v>64</v>
      </c>
      <c r="L98" s="5">
        <v>4.1</v>
      </c>
      <c r="M98" s="5">
        <v>1.3</v>
      </c>
      <c r="N98" s="5">
        <v>26</v>
      </c>
      <c r="O98" s="5">
        <v>18</v>
      </c>
      <c r="P98" s="5">
        <v>4</v>
      </c>
      <c r="Q98" s="5">
        <v>7</v>
      </c>
      <c r="R98" s="5" t="s">
        <v>394</v>
      </c>
      <c r="S98" s="5" t="s">
        <v>395</v>
      </c>
      <c r="T98" s="5" t="s">
        <v>57</v>
      </c>
      <c r="V98" s="5" t="s">
        <v>396</v>
      </c>
      <c r="W98" s="5" t="s">
        <v>397</v>
      </c>
      <c r="X98" s="5" t="s">
        <v>59</v>
      </c>
      <c r="Y98" s="5" t="s">
        <v>353</v>
      </c>
      <c r="Z98" s="5" t="s">
        <v>398</v>
      </c>
      <c r="AA98" s="5" t="s">
        <v>59</v>
      </c>
      <c r="AB98" s="5" t="s">
        <v>59</v>
      </c>
      <c r="AC98" s="5" t="s">
        <v>61</v>
      </c>
      <c r="AD98" s="5" t="s">
        <v>61</v>
      </c>
      <c r="AE98" s="5" t="s">
        <v>61</v>
      </c>
      <c r="AF98" s="5" t="s">
        <v>61</v>
      </c>
      <c r="AG98" s="14"/>
    </row>
    <row r="99" spans="1:33">
      <c r="A99" s="5" t="s">
        <v>326</v>
      </c>
      <c r="B99" s="5">
        <v>180791</v>
      </c>
      <c r="C99" s="5" t="s">
        <v>387</v>
      </c>
      <c r="D99" s="5" t="s">
        <v>54</v>
      </c>
      <c r="E99" s="5">
        <v>66</v>
      </c>
      <c r="F99" s="5">
        <v>87.24</v>
      </c>
      <c r="G99" s="5">
        <v>87.14</v>
      </c>
      <c r="H99" s="5">
        <v>99.9999999999943</v>
      </c>
      <c r="I99" s="5">
        <v>1</v>
      </c>
      <c r="J99" s="5">
        <v>89</v>
      </c>
      <c r="K99" s="5">
        <v>26</v>
      </c>
      <c r="L99" s="5">
        <v>11.2</v>
      </c>
      <c r="M99" s="5">
        <v>4.2</v>
      </c>
      <c r="N99" s="5">
        <v>10</v>
      </c>
      <c r="O99" s="5">
        <v>11</v>
      </c>
      <c r="P99" s="5">
        <v>2</v>
      </c>
      <c r="Q99" s="5">
        <v>5</v>
      </c>
      <c r="R99" s="5" t="s">
        <v>399</v>
      </c>
      <c r="S99" s="5" t="s">
        <v>400</v>
      </c>
      <c r="T99" s="5" t="s">
        <v>57</v>
      </c>
      <c r="V99" s="5" t="s">
        <v>401</v>
      </c>
      <c r="W99" s="5" t="s">
        <v>402</v>
      </c>
      <c r="X99" s="5" t="s">
        <v>59</v>
      </c>
      <c r="Y99" s="5" t="s">
        <v>403</v>
      </c>
      <c r="Z99" s="5" t="s">
        <v>332</v>
      </c>
      <c r="AA99" s="5" t="s">
        <v>59</v>
      </c>
      <c r="AB99" s="5" t="s">
        <v>59</v>
      </c>
      <c r="AC99" s="5" t="s">
        <v>61</v>
      </c>
      <c r="AD99" s="5" t="s">
        <v>61</v>
      </c>
      <c r="AE99" s="5" t="s">
        <v>61</v>
      </c>
      <c r="AF99" s="5" t="s">
        <v>61</v>
      </c>
      <c r="AG99" s="14"/>
    </row>
    <row r="100" spans="1:33">
      <c r="A100" s="5" t="s">
        <v>326</v>
      </c>
      <c r="B100" s="5">
        <v>527117</v>
      </c>
      <c r="C100" s="5" t="s">
        <v>387</v>
      </c>
      <c r="D100" s="5" t="s">
        <v>54</v>
      </c>
      <c r="E100" s="5">
        <v>66</v>
      </c>
      <c r="F100" s="5">
        <v>69.9</v>
      </c>
      <c r="G100" s="5">
        <v>69.75</v>
      </c>
      <c r="H100" s="5">
        <v>150.000000000006</v>
      </c>
      <c r="I100" s="5">
        <v>4</v>
      </c>
      <c r="J100" s="5">
        <v>140</v>
      </c>
      <c r="K100" s="5">
        <v>17</v>
      </c>
      <c r="L100" s="5">
        <v>15.1</v>
      </c>
      <c r="M100" s="5">
        <v>8.3</v>
      </c>
      <c r="N100" s="5">
        <v>34</v>
      </c>
      <c r="O100" s="5">
        <v>7</v>
      </c>
      <c r="P100" s="5">
        <v>5</v>
      </c>
      <c r="Q100" s="5">
        <v>5</v>
      </c>
      <c r="R100" s="5" t="s">
        <v>404</v>
      </c>
      <c r="S100" s="5" t="s">
        <v>405</v>
      </c>
      <c r="T100" s="5" t="s">
        <v>57</v>
      </c>
      <c r="V100" s="5" t="s">
        <v>406</v>
      </c>
      <c r="W100" s="5" t="s">
        <v>407</v>
      </c>
      <c r="X100" s="5" t="s">
        <v>59</v>
      </c>
      <c r="Y100" s="5" t="s">
        <v>408</v>
      </c>
      <c r="Z100" s="5" t="s">
        <v>409</v>
      </c>
      <c r="AA100" s="5" t="s">
        <v>59</v>
      </c>
      <c r="AB100" s="5" t="s">
        <v>59</v>
      </c>
      <c r="AC100" s="5" t="s">
        <v>61</v>
      </c>
      <c r="AD100" s="5" t="s">
        <v>61</v>
      </c>
      <c r="AE100" s="5" t="s">
        <v>61</v>
      </c>
      <c r="AF100" s="5" t="s">
        <v>61</v>
      </c>
      <c r="AG100" s="14"/>
    </row>
    <row r="101" spans="1:33">
      <c r="A101" s="5" t="s">
        <v>326</v>
      </c>
      <c r="B101" s="5">
        <v>654678</v>
      </c>
      <c r="C101" s="5" t="s">
        <v>387</v>
      </c>
      <c r="D101" s="5" t="s">
        <v>54</v>
      </c>
      <c r="E101" s="5">
        <v>55</v>
      </c>
      <c r="F101" s="5">
        <v>99.97</v>
      </c>
      <c r="G101" s="5">
        <v>99.72</v>
      </c>
      <c r="H101" s="5">
        <v>250</v>
      </c>
      <c r="I101" s="5">
        <v>12</v>
      </c>
      <c r="J101" s="5">
        <v>233</v>
      </c>
      <c r="K101" s="5">
        <v>34</v>
      </c>
      <c r="L101" s="5">
        <v>10.4</v>
      </c>
      <c r="M101" s="5">
        <v>6.9</v>
      </c>
      <c r="N101" s="5">
        <v>50</v>
      </c>
      <c r="O101" s="5">
        <v>13</v>
      </c>
      <c r="P101" s="5">
        <v>3</v>
      </c>
      <c r="Q101" s="5">
        <v>16</v>
      </c>
      <c r="R101" s="5" t="s">
        <v>410</v>
      </c>
      <c r="S101" s="5" t="s">
        <v>411</v>
      </c>
      <c r="T101" s="5" t="s">
        <v>57</v>
      </c>
      <c r="V101" s="5" t="s">
        <v>412</v>
      </c>
      <c r="W101" s="5" t="s">
        <v>413</v>
      </c>
      <c r="X101" s="5" t="s">
        <v>59</v>
      </c>
      <c r="Y101" s="5" t="s">
        <v>210</v>
      </c>
      <c r="Z101" s="5" t="s">
        <v>414</v>
      </c>
      <c r="AA101" s="5" t="s">
        <v>59</v>
      </c>
      <c r="AB101" s="5" t="s">
        <v>59</v>
      </c>
      <c r="AC101" s="5" t="s">
        <v>61</v>
      </c>
      <c r="AD101" s="5" t="s">
        <v>61</v>
      </c>
      <c r="AE101" s="5" t="s">
        <v>61</v>
      </c>
      <c r="AF101" s="5" t="s">
        <v>61</v>
      </c>
      <c r="AG101" s="14"/>
    </row>
    <row r="102" spans="1:33">
      <c r="A102" s="5" t="s">
        <v>326</v>
      </c>
      <c r="B102" s="5">
        <v>685995</v>
      </c>
      <c r="C102" s="5" t="s">
        <v>387</v>
      </c>
      <c r="D102" s="5" t="s">
        <v>54</v>
      </c>
      <c r="E102" s="5">
        <v>38</v>
      </c>
      <c r="F102" s="5">
        <v>107.32</v>
      </c>
      <c r="G102" s="5">
        <v>107</v>
      </c>
      <c r="H102" s="5">
        <v>319.999999999993</v>
      </c>
      <c r="I102" s="5">
        <v>3</v>
      </c>
      <c r="J102" s="5">
        <v>298</v>
      </c>
      <c r="K102" s="5">
        <v>21</v>
      </c>
      <c r="L102" s="5">
        <v>24.7</v>
      </c>
      <c r="M102" s="5">
        <v>14.1</v>
      </c>
      <c r="N102" s="5">
        <v>25</v>
      </c>
      <c r="O102" s="5">
        <v>3</v>
      </c>
      <c r="P102" s="5">
        <v>0</v>
      </c>
      <c r="Q102" s="5">
        <v>24</v>
      </c>
      <c r="R102" s="5" t="s">
        <v>415</v>
      </c>
      <c r="S102" s="5" t="s">
        <v>416</v>
      </c>
      <c r="T102" s="5" t="s">
        <v>57</v>
      </c>
      <c r="U102" s="5" t="s">
        <v>148</v>
      </c>
      <c r="V102" s="5" t="s">
        <v>417</v>
      </c>
      <c r="W102" s="5" t="s">
        <v>59</v>
      </c>
      <c r="X102" s="5" t="s">
        <v>59</v>
      </c>
      <c r="Y102" s="5" t="s">
        <v>418</v>
      </c>
      <c r="Z102" s="5" t="s">
        <v>332</v>
      </c>
      <c r="AA102" s="5" t="s">
        <v>59</v>
      </c>
      <c r="AB102" s="5" t="s">
        <v>59</v>
      </c>
      <c r="AC102" s="5" t="s">
        <v>61</v>
      </c>
      <c r="AD102" s="5" t="s">
        <v>61</v>
      </c>
      <c r="AE102" s="5" t="s">
        <v>61</v>
      </c>
      <c r="AF102" s="5" t="s">
        <v>61</v>
      </c>
      <c r="AG102" s="14"/>
    </row>
    <row r="103" spans="1:33">
      <c r="A103" s="5" t="s">
        <v>326</v>
      </c>
      <c r="B103" s="5">
        <v>696545</v>
      </c>
      <c r="C103" s="5" t="s">
        <v>321</v>
      </c>
      <c r="D103" s="5" t="s">
        <v>54</v>
      </c>
      <c r="E103" s="5">
        <v>26</v>
      </c>
      <c r="F103" s="5">
        <v>74.52</v>
      </c>
      <c r="G103" s="5">
        <v>74.41</v>
      </c>
      <c r="H103" s="5">
        <v>109.999999999999</v>
      </c>
      <c r="I103" s="5">
        <v>2</v>
      </c>
      <c r="J103" s="5">
        <v>99</v>
      </c>
      <c r="K103" s="5">
        <v>13</v>
      </c>
      <c r="L103" s="5">
        <v>16.6</v>
      </c>
      <c r="M103" s="5">
        <v>8.4</v>
      </c>
      <c r="N103" s="5">
        <v>33</v>
      </c>
      <c r="O103" s="5">
        <v>3</v>
      </c>
      <c r="P103" s="5">
        <v>2</v>
      </c>
      <c r="Q103" s="5">
        <v>22</v>
      </c>
      <c r="R103" s="5" t="s">
        <v>419</v>
      </c>
      <c r="S103" s="5" t="s">
        <v>420</v>
      </c>
      <c r="T103" s="5" t="s">
        <v>57</v>
      </c>
      <c r="V103" s="5" t="s">
        <v>421</v>
      </c>
      <c r="W103" s="5" t="s">
        <v>59</v>
      </c>
      <c r="X103" s="5" t="s">
        <v>59</v>
      </c>
      <c r="Y103" s="5" t="s">
        <v>392</v>
      </c>
      <c r="Z103" s="5" t="s">
        <v>332</v>
      </c>
      <c r="AA103" s="5" t="s">
        <v>59</v>
      </c>
      <c r="AB103" s="5" t="s">
        <v>59</v>
      </c>
      <c r="AC103" s="5" t="s">
        <v>61</v>
      </c>
      <c r="AD103" s="5" t="s">
        <v>61</v>
      </c>
      <c r="AE103" s="5" t="s">
        <v>61</v>
      </c>
      <c r="AF103" s="5" t="s">
        <v>61</v>
      </c>
      <c r="AG103" s="14"/>
    </row>
    <row r="104" spans="1:33">
      <c r="A104" s="5" t="s">
        <v>326</v>
      </c>
      <c r="B104" s="5">
        <v>668688</v>
      </c>
      <c r="C104" s="5" t="s">
        <v>321</v>
      </c>
      <c r="D104" s="5" t="s">
        <v>54</v>
      </c>
      <c r="E104" s="5">
        <v>34</v>
      </c>
      <c r="F104" s="5">
        <v>67.38</v>
      </c>
      <c r="G104" s="5">
        <v>66.71</v>
      </c>
      <c r="H104" s="5">
        <v>670.000000000002</v>
      </c>
      <c r="I104" s="5">
        <v>15</v>
      </c>
      <c r="J104" s="5">
        <v>660</v>
      </c>
      <c r="K104" s="5">
        <v>30</v>
      </c>
      <c r="L104" s="5">
        <v>36</v>
      </c>
      <c r="M104" s="5">
        <v>24</v>
      </c>
      <c r="N104" s="5">
        <v>0</v>
      </c>
      <c r="O104" s="5">
        <v>0</v>
      </c>
      <c r="P104" s="5">
        <v>0</v>
      </c>
      <c r="Q104" s="5">
        <v>25</v>
      </c>
      <c r="R104" s="5" t="s">
        <v>422</v>
      </c>
      <c r="S104" s="5" t="s">
        <v>423</v>
      </c>
      <c r="T104" s="5" t="s">
        <v>57</v>
      </c>
      <c r="V104" s="5" t="s">
        <v>424</v>
      </c>
      <c r="W104" s="5" t="s">
        <v>59</v>
      </c>
      <c r="X104" s="5" t="s">
        <v>59</v>
      </c>
      <c r="Y104" s="5" t="s">
        <v>425</v>
      </c>
      <c r="Z104" s="5" t="s">
        <v>332</v>
      </c>
      <c r="AA104" s="5" t="s">
        <v>59</v>
      </c>
      <c r="AB104" s="5" t="s">
        <v>59</v>
      </c>
      <c r="AC104" s="5" t="s">
        <v>61</v>
      </c>
      <c r="AD104" s="5" t="s">
        <v>61</v>
      </c>
      <c r="AE104" s="5" t="s">
        <v>61</v>
      </c>
      <c r="AF104" s="5" t="s">
        <v>61</v>
      </c>
      <c r="AG104" s="14"/>
    </row>
    <row r="105" spans="1:33">
      <c r="A105" s="5" t="s">
        <v>326</v>
      </c>
      <c r="B105" s="5">
        <v>313640</v>
      </c>
      <c r="C105" s="5" t="s">
        <v>321</v>
      </c>
      <c r="D105" s="5" t="s">
        <v>54</v>
      </c>
      <c r="E105" s="5">
        <v>27</v>
      </c>
      <c r="F105" s="5">
        <v>72.01</v>
      </c>
      <c r="G105" s="5">
        <v>71.86</v>
      </c>
      <c r="H105" s="5">
        <v>150.000000000006</v>
      </c>
      <c r="I105" s="5">
        <v>10</v>
      </c>
      <c r="J105" s="5">
        <v>140</v>
      </c>
      <c r="K105" s="5">
        <v>16</v>
      </c>
      <c r="L105" s="5">
        <v>18.6</v>
      </c>
      <c r="M105" s="5">
        <v>8.5</v>
      </c>
      <c r="N105" s="5">
        <v>0</v>
      </c>
      <c r="O105" s="5">
        <v>3</v>
      </c>
      <c r="P105" s="5">
        <v>0</v>
      </c>
      <c r="Q105" s="5">
        <v>25</v>
      </c>
      <c r="R105" s="5" t="s">
        <v>426</v>
      </c>
      <c r="S105" s="5" t="s">
        <v>427</v>
      </c>
      <c r="T105" s="5" t="s">
        <v>57</v>
      </c>
      <c r="V105" s="5" t="s">
        <v>428</v>
      </c>
      <c r="W105" s="5" t="s">
        <v>59</v>
      </c>
      <c r="X105" s="5" t="s">
        <v>59</v>
      </c>
      <c r="Y105" s="5" t="s">
        <v>429</v>
      </c>
      <c r="Z105" s="5" t="s">
        <v>332</v>
      </c>
      <c r="AA105" s="5" t="s">
        <v>59</v>
      </c>
      <c r="AB105" s="5" t="s">
        <v>59</v>
      </c>
      <c r="AC105" s="5" t="s">
        <v>61</v>
      </c>
      <c r="AD105" s="5" t="s">
        <v>61</v>
      </c>
      <c r="AE105" s="5" t="s">
        <v>61</v>
      </c>
      <c r="AF105" s="5" t="s">
        <v>61</v>
      </c>
      <c r="AG105" s="14"/>
    </row>
    <row r="106" spans="1:33">
      <c r="A106" s="5" t="s">
        <v>326</v>
      </c>
      <c r="B106" s="5">
        <v>647508</v>
      </c>
      <c r="C106" s="5" t="s">
        <v>321</v>
      </c>
      <c r="D106" s="5" t="s">
        <v>54</v>
      </c>
      <c r="E106" s="5">
        <v>31</v>
      </c>
      <c r="F106" s="5">
        <v>77.05</v>
      </c>
      <c r="G106" s="5">
        <v>76.91</v>
      </c>
      <c r="H106" s="5">
        <v>140.000000000001</v>
      </c>
      <c r="I106" s="5">
        <v>16</v>
      </c>
      <c r="J106" s="5">
        <v>154</v>
      </c>
      <c r="K106" s="5">
        <v>35</v>
      </c>
      <c r="L106" s="5">
        <v>11.4</v>
      </c>
      <c r="M106" s="5">
        <v>4.4</v>
      </c>
      <c r="N106" s="5">
        <v>78</v>
      </c>
      <c r="O106" s="5">
        <v>16</v>
      </c>
      <c r="P106" s="5">
        <v>1</v>
      </c>
      <c r="Q106" s="5">
        <v>24</v>
      </c>
      <c r="R106" s="5" t="s">
        <v>430</v>
      </c>
      <c r="S106" s="5" t="s">
        <v>431</v>
      </c>
      <c r="T106" s="5" t="s">
        <v>57</v>
      </c>
      <c r="V106" s="5" t="s">
        <v>432</v>
      </c>
      <c r="W106" s="5" t="s">
        <v>59</v>
      </c>
      <c r="X106" s="5" t="s">
        <v>59</v>
      </c>
      <c r="Y106" s="5">
        <v>1</v>
      </c>
      <c r="Z106" s="5" t="s">
        <v>332</v>
      </c>
      <c r="AA106" s="5" t="s">
        <v>59</v>
      </c>
      <c r="AB106" s="5" t="s">
        <v>59</v>
      </c>
      <c r="AC106" s="5" t="s">
        <v>61</v>
      </c>
      <c r="AD106" s="5" t="s">
        <v>61</v>
      </c>
      <c r="AE106" s="5" t="s">
        <v>61</v>
      </c>
      <c r="AF106" s="5" t="s">
        <v>61</v>
      </c>
      <c r="AG106" s="14"/>
    </row>
    <row r="107" spans="1:33">
      <c r="A107" s="5" t="s">
        <v>326</v>
      </c>
      <c r="B107" s="5">
        <v>397453</v>
      </c>
      <c r="C107" s="5" t="s">
        <v>321</v>
      </c>
      <c r="D107" s="5" t="s">
        <v>54</v>
      </c>
      <c r="E107" s="5">
        <v>25</v>
      </c>
      <c r="F107" s="5">
        <v>83.33</v>
      </c>
      <c r="G107" s="5">
        <v>82.3</v>
      </c>
      <c r="H107" s="5">
        <v>1030</v>
      </c>
      <c r="I107" s="5">
        <v>5</v>
      </c>
      <c r="J107" s="5">
        <v>1020</v>
      </c>
      <c r="K107" s="5">
        <v>56</v>
      </c>
      <c r="L107" s="5">
        <v>31.9</v>
      </c>
      <c r="M107" s="5">
        <v>18.1</v>
      </c>
      <c r="N107" s="5">
        <v>75</v>
      </c>
      <c r="O107" s="5">
        <v>2</v>
      </c>
      <c r="P107" s="5">
        <v>0</v>
      </c>
      <c r="Q107" s="5">
        <v>22</v>
      </c>
      <c r="R107" s="5" t="s">
        <v>433</v>
      </c>
      <c r="S107" s="5" t="s">
        <v>434</v>
      </c>
      <c r="T107" s="5" t="s">
        <v>57</v>
      </c>
      <c r="V107" s="5" t="s">
        <v>435</v>
      </c>
      <c r="W107" s="5" t="s">
        <v>59</v>
      </c>
      <c r="X107" s="5" t="s">
        <v>59</v>
      </c>
      <c r="Y107" s="5" t="s">
        <v>436</v>
      </c>
      <c r="Z107" s="5" t="s">
        <v>437</v>
      </c>
      <c r="AA107" s="5" t="s">
        <v>59</v>
      </c>
      <c r="AB107" s="5" t="s">
        <v>59</v>
      </c>
      <c r="AC107" s="5" t="s">
        <v>61</v>
      </c>
      <c r="AD107" s="5" t="s">
        <v>61</v>
      </c>
      <c r="AE107" s="5" t="s">
        <v>61</v>
      </c>
      <c r="AF107" s="5" t="s">
        <v>61</v>
      </c>
      <c r="AG107" s="14"/>
    </row>
    <row r="108" spans="1:33">
      <c r="A108" s="5" t="s">
        <v>326</v>
      </c>
      <c r="B108" s="5">
        <v>653762</v>
      </c>
      <c r="C108" s="5" t="s">
        <v>321</v>
      </c>
      <c r="D108" s="5" t="s">
        <v>54</v>
      </c>
      <c r="E108" s="5">
        <v>28</v>
      </c>
      <c r="F108" s="5">
        <v>77.17</v>
      </c>
      <c r="G108" s="5">
        <v>76.86</v>
      </c>
      <c r="H108" s="5">
        <v>310.000000000002</v>
      </c>
      <c r="I108" s="5">
        <v>12</v>
      </c>
      <c r="J108" s="5">
        <v>308</v>
      </c>
      <c r="K108" s="5">
        <v>22</v>
      </c>
      <c r="L108" s="5">
        <v>18.3</v>
      </c>
      <c r="M108" s="5">
        <v>14.1</v>
      </c>
      <c r="N108" s="5">
        <v>16</v>
      </c>
      <c r="O108" s="5">
        <v>1</v>
      </c>
      <c r="P108" s="5">
        <v>0</v>
      </c>
      <c r="Q108" s="5">
        <v>25</v>
      </c>
      <c r="R108" s="5" t="s">
        <v>438</v>
      </c>
      <c r="S108" s="5" t="s">
        <v>439</v>
      </c>
      <c r="T108" s="5" t="s">
        <v>57</v>
      </c>
      <c r="V108" s="5" t="s">
        <v>440</v>
      </c>
      <c r="W108" s="5" t="s">
        <v>59</v>
      </c>
      <c r="X108" s="5" t="s">
        <v>59</v>
      </c>
      <c r="Y108" s="5" t="s">
        <v>385</v>
      </c>
      <c r="Z108" s="5" t="s">
        <v>441</v>
      </c>
      <c r="AA108" s="5" t="s">
        <v>59</v>
      </c>
      <c r="AB108" s="5" t="s">
        <v>59</v>
      </c>
      <c r="AC108" s="5" t="s">
        <v>61</v>
      </c>
      <c r="AD108" s="5" t="s">
        <v>61</v>
      </c>
      <c r="AE108" s="5" t="s">
        <v>61</v>
      </c>
      <c r="AF108" s="5" t="s">
        <v>61</v>
      </c>
      <c r="AG108" s="14"/>
    </row>
    <row r="109" spans="1:33">
      <c r="A109" s="5" t="s">
        <v>326</v>
      </c>
      <c r="B109" s="5">
        <v>701609</v>
      </c>
      <c r="C109" s="5" t="s">
        <v>321</v>
      </c>
      <c r="D109" s="5" t="s">
        <v>54</v>
      </c>
      <c r="E109" s="5">
        <v>34</v>
      </c>
      <c r="F109" s="5">
        <v>87.52</v>
      </c>
      <c r="G109" s="5">
        <v>87.44</v>
      </c>
      <c r="H109" s="5">
        <v>79.9999999999983</v>
      </c>
      <c r="I109" s="4"/>
      <c r="J109" s="4"/>
      <c r="K109" s="4"/>
      <c r="L109" s="4"/>
      <c r="M109" s="4"/>
      <c r="N109" s="5">
        <v>0</v>
      </c>
      <c r="O109" s="5">
        <v>8</v>
      </c>
      <c r="P109" s="5">
        <v>2</v>
      </c>
      <c r="Q109" s="5">
        <v>25</v>
      </c>
      <c r="R109" s="5" t="s">
        <v>442</v>
      </c>
      <c r="S109" s="4" t="s">
        <v>443</v>
      </c>
      <c r="T109" s="5" t="s">
        <v>57</v>
      </c>
      <c r="V109" s="4" t="s">
        <v>444</v>
      </c>
      <c r="W109" s="5" t="s">
        <v>59</v>
      </c>
      <c r="X109" s="5" t="s">
        <v>59</v>
      </c>
      <c r="Y109" s="5" t="s">
        <v>445</v>
      </c>
      <c r="Z109" s="5" t="s">
        <v>446</v>
      </c>
      <c r="AA109" s="5" t="s">
        <v>59</v>
      </c>
      <c r="AB109" s="5" t="s">
        <v>59</v>
      </c>
      <c r="AC109" s="5" t="s">
        <v>61</v>
      </c>
      <c r="AD109" s="5" t="s">
        <v>61</v>
      </c>
      <c r="AE109" s="5" t="s">
        <v>61</v>
      </c>
      <c r="AF109" s="5" t="s">
        <v>61</v>
      </c>
      <c r="AG109" s="14"/>
    </row>
    <row r="110" spans="1:33">
      <c r="A110" s="5" t="s">
        <v>326</v>
      </c>
      <c r="B110" s="5">
        <v>657262</v>
      </c>
      <c r="C110" s="5" t="s">
        <v>321</v>
      </c>
      <c r="D110" s="5" t="s">
        <v>54</v>
      </c>
      <c r="E110" s="5">
        <v>31</v>
      </c>
      <c r="F110" s="5">
        <v>85.94</v>
      </c>
      <c r="G110" s="5">
        <v>85.35</v>
      </c>
      <c r="H110" s="5">
        <v>590.000000000003</v>
      </c>
      <c r="I110" s="5">
        <v>10</v>
      </c>
      <c r="J110" s="5">
        <v>570</v>
      </c>
      <c r="K110" s="5">
        <v>24</v>
      </c>
      <c r="L110" s="5">
        <v>41.7</v>
      </c>
      <c r="M110" s="5">
        <v>23.4</v>
      </c>
      <c r="N110" s="5">
        <v>18</v>
      </c>
      <c r="O110" s="5">
        <v>3</v>
      </c>
      <c r="P110" s="5">
        <v>0</v>
      </c>
      <c r="Q110" s="5">
        <v>25</v>
      </c>
      <c r="R110" s="5" t="s">
        <v>447</v>
      </c>
      <c r="S110" s="5" t="s">
        <v>448</v>
      </c>
      <c r="T110" s="5" t="s">
        <v>57</v>
      </c>
      <c r="V110" s="5" t="s">
        <v>449</v>
      </c>
      <c r="W110" s="5" t="s">
        <v>59</v>
      </c>
      <c r="X110" s="5" t="s">
        <v>59</v>
      </c>
      <c r="Y110" s="5" t="s">
        <v>450</v>
      </c>
      <c r="Z110" s="5" t="s">
        <v>451</v>
      </c>
      <c r="AA110" s="5" t="s">
        <v>59</v>
      </c>
      <c r="AB110" s="5" t="s">
        <v>59</v>
      </c>
      <c r="AC110" s="5" t="s">
        <v>61</v>
      </c>
      <c r="AD110" s="5" t="s">
        <v>61</v>
      </c>
      <c r="AE110" s="5" t="s">
        <v>61</v>
      </c>
      <c r="AF110" s="5" t="s">
        <v>61</v>
      </c>
      <c r="AG110" s="14"/>
    </row>
    <row r="111" spans="1:33">
      <c r="A111" s="5" t="s">
        <v>326</v>
      </c>
      <c r="B111" s="5">
        <v>1434070</v>
      </c>
      <c r="C111" s="5" t="s">
        <v>452</v>
      </c>
      <c r="D111" s="5" t="s">
        <v>54</v>
      </c>
      <c r="E111" s="5">
        <v>30</v>
      </c>
      <c r="F111" s="5">
        <v>86.81</v>
      </c>
      <c r="G111" s="5">
        <v>86.57</v>
      </c>
      <c r="H111" s="5">
        <v>240.000000000009</v>
      </c>
      <c r="I111" s="5">
        <v>9</v>
      </c>
      <c r="J111" s="5">
        <v>239</v>
      </c>
      <c r="K111" s="5">
        <v>16</v>
      </c>
      <c r="L111" s="5">
        <v>28.8</v>
      </c>
      <c r="M111" s="5">
        <v>16</v>
      </c>
      <c r="N111" s="5">
        <v>0</v>
      </c>
      <c r="O111" s="5">
        <v>6</v>
      </c>
      <c r="P111" s="5">
        <v>1</v>
      </c>
      <c r="Q111" s="5">
        <v>25</v>
      </c>
      <c r="R111" s="5" t="s">
        <v>453</v>
      </c>
      <c r="S111" s="5" t="s">
        <v>454</v>
      </c>
      <c r="T111" s="5" t="s">
        <v>57</v>
      </c>
      <c r="V111" s="5" t="s">
        <v>455</v>
      </c>
      <c r="W111" s="5" t="s">
        <v>59</v>
      </c>
      <c r="X111" s="5" t="s">
        <v>59</v>
      </c>
      <c r="Y111" s="5" t="s">
        <v>347</v>
      </c>
      <c r="Z111" s="5" t="s">
        <v>332</v>
      </c>
      <c r="AA111" s="5" t="s">
        <v>59</v>
      </c>
      <c r="AB111" s="5" t="s">
        <v>59</v>
      </c>
      <c r="AC111" s="5" t="s">
        <v>61</v>
      </c>
      <c r="AD111" s="5" t="s">
        <v>61</v>
      </c>
      <c r="AE111" s="5" t="s">
        <v>61</v>
      </c>
      <c r="AF111" s="5" t="s">
        <v>61</v>
      </c>
      <c r="AG111" s="14"/>
    </row>
    <row r="112" spans="1:33">
      <c r="A112" s="5" t="s">
        <v>326</v>
      </c>
      <c r="B112" s="5">
        <v>684333</v>
      </c>
      <c r="C112" s="5" t="s">
        <v>452</v>
      </c>
      <c r="D112" s="5" t="s">
        <v>54</v>
      </c>
      <c r="E112" s="5">
        <v>29</v>
      </c>
      <c r="F112" s="5">
        <v>80.62</v>
      </c>
      <c r="G112" s="5">
        <v>80.33</v>
      </c>
      <c r="H112" s="5">
        <v>290.000000000006</v>
      </c>
      <c r="I112" s="5">
        <v>6</v>
      </c>
      <c r="J112" s="5">
        <v>263</v>
      </c>
      <c r="K112" s="5">
        <v>18</v>
      </c>
      <c r="L112" s="5">
        <v>25.2</v>
      </c>
      <c r="M112" s="5">
        <v>15</v>
      </c>
      <c r="N112" s="5">
        <v>17</v>
      </c>
      <c r="O112" s="5">
        <v>6</v>
      </c>
      <c r="P112" s="5">
        <v>0</v>
      </c>
      <c r="Q112" s="5">
        <v>24</v>
      </c>
      <c r="R112" s="5" t="s">
        <v>456</v>
      </c>
      <c r="S112" s="5" t="s">
        <v>457</v>
      </c>
      <c r="T112" s="5" t="s">
        <v>57</v>
      </c>
      <c r="V112" s="5" t="s">
        <v>458</v>
      </c>
      <c r="W112" s="5" t="s">
        <v>59</v>
      </c>
      <c r="X112" s="5" t="s">
        <v>59</v>
      </c>
      <c r="Y112" s="5" t="s">
        <v>459</v>
      </c>
      <c r="Z112" s="5" t="s">
        <v>332</v>
      </c>
      <c r="AA112" s="5" t="s">
        <v>59</v>
      </c>
      <c r="AB112" s="5" t="s">
        <v>59</v>
      </c>
      <c r="AC112" s="5" t="s">
        <v>61</v>
      </c>
      <c r="AD112" s="5" t="s">
        <v>61</v>
      </c>
      <c r="AE112" s="5" t="s">
        <v>61</v>
      </c>
      <c r="AF112" s="5" t="s">
        <v>61</v>
      </c>
      <c r="AG112" s="14"/>
    </row>
    <row r="113" spans="1:33">
      <c r="A113" s="5" t="s">
        <v>326</v>
      </c>
      <c r="B113" s="5">
        <v>615500</v>
      </c>
      <c r="C113" s="5" t="s">
        <v>452</v>
      </c>
      <c r="D113" s="5" t="s">
        <v>54</v>
      </c>
      <c r="E113" s="5">
        <v>36</v>
      </c>
      <c r="F113" s="5">
        <v>71.18</v>
      </c>
      <c r="G113" s="5">
        <v>70.94</v>
      </c>
      <c r="H113" s="5">
        <v>240.000000000009</v>
      </c>
      <c r="I113" s="5">
        <v>11</v>
      </c>
      <c r="J113" s="5">
        <v>244</v>
      </c>
      <c r="K113" s="5">
        <v>24</v>
      </c>
      <c r="L113" s="5">
        <v>16.7</v>
      </c>
      <c r="M113" s="5">
        <v>10.3</v>
      </c>
      <c r="N113" s="5">
        <v>0</v>
      </c>
      <c r="O113" s="5">
        <v>2</v>
      </c>
      <c r="P113" s="5">
        <v>1</v>
      </c>
      <c r="Q113" s="5">
        <v>25</v>
      </c>
      <c r="R113" s="5" t="s">
        <v>460</v>
      </c>
      <c r="S113" s="5" t="s">
        <v>461</v>
      </c>
      <c r="T113" s="5" t="s">
        <v>57</v>
      </c>
      <c r="V113" s="5" t="s">
        <v>462</v>
      </c>
      <c r="W113" s="5" t="s">
        <v>59</v>
      </c>
      <c r="X113" s="5" t="s">
        <v>59</v>
      </c>
      <c r="Y113" s="5" t="s">
        <v>463</v>
      </c>
      <c r="Z113" s="5" t="s">
        <v>446</v>
      </c>
      <c r="AA113" s="5" t="s">
        <v>59</v>
      </c>
      <c r="AB113" s="5" t="s">
        <v>59</v>
      </c>
      <c r="AC113" s="5" t="s">
        <v>61</v>
      </c>
      <c r="AD113" s="5" t="s">
        <v>61</v>
      </c>
      <c r="AE113" s="5" t="s">
        <v>61</v>
      </c>
      <c r="AF113" s="5" t="s">
        <v>61</v>
      </c>
      <c r="AG113" s="14"/>
    </row>
    <row r="117" spans="35:35">
      <c r="AI117" s="14"/>
    </row>
  </sheetData>
  <conditionalFormatting sqref="AG90:AG93">
    <cfRule type="timePeriod" dxfId="0" priority="1" timePeriod="lastMonth">
      <formula>AND(MONTH(AG90)=MONTH(EDATE(TODAY(),0-1)),YEAR(AG90)=YEAR(EDATE(TODAY(),0-1)))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7"/>
  <sheetViews>
    <sheetView workbookViewId="0">
      <selection activeCell="A1" sqref="A1"/>
    </sheetView>
  </sheetViews>
  <sheetFormatPr defaultColWidth="8.83333333333333" defaultRowHeight="12.75"/>
  <sheetData>
    <row r="1" spans="1:16">
      <c r="A1" s="1" t="s">
        <v>464</v>
      </c>
      <c r="B1" s="1" t="s">
        <v>465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477</v>
      </c>
      <c r="O1" s="1" t="s">
        <v>478</v>
      </c>
      <c r="P1" s="1" t="s">
        <v>479</v>
      </c>
    </row>
    <row r="2" spans="1:16">
      <c r="A2">
        <v>68.3</v>
      </c>
      <c r="B2">
        <v>11</v>
      </c>
      <c r="C2">
        <v>0</v>
      </c>
      <c r="D2">
        <v>3.88888888888889</v>
      </c>
      <c r="E2">
        <v>2</v>
      </c>
      <c r="F2">
        <v>4.0800115471436</v>
      </c>
      <c r="G2">
        <v>266</v>
      </c>
      <c r="H2">
        <v>0</v>
      </c>
      <c r="I2">
        <v>-0.203383458645852</v>
      </c>
      <c r="J2">
        <v>35.8</v>
      </c>
      <c r="K2">
        <v>25.4</v>
      </c>
      <c r="L2">
        <v>0.462242564945456</v>
      </c>
      <c r="M2">
        <v>1.53252567033067</v>
      </c>
      <c r="N2">
        <v>684</v>
      </c>
      <c r="O2" t="s">
        <v>56</v>
      </c>
      <c r="P2" t="s">
        <v>52</v>
      </c>
    </row>
    <row r="3" spans="1:16">
      <c r="A3">
        <v>59</v>
      </c>
      <c r="B3">
        <v>17</v>
      </c>
      <c r="C3">
        <v>0</v>
      </c>
      <c r="D3">
        <v>5.03553299492386</v>
      </c>
      <c r="E3">
        <v>2</v>
      </c>
      <c r="F3">
        <v>5.38048164423126</v>
      </c>
      <c r="G3">
        <v>297.6</v>
      </c>
      <c r="H3">
        <v>3</v>
      </c>
      <c r="I3">
        <v>0.33568548386984</v>
      </c>
      <c r="J3">
        <v>14.8</v>
      </c>
      <c r="K3">
        <v>15.5</v>
      </c>
      <c r="L3">
        <v>0.70251234478549</v>
      </c>
      <c r="M3">
        <v>2.06320546726446</v>
      </c>
      <c r="N3">
        <v>591</v>
      </c>
      <c r="O3" t="s">
        <v>63</v>
      </c>
      <c r="P3" t="s">
        <v>52</v>
      </c>
    </row>
    <row r="4" spans="1:16">
      <c r="A4">
        <v>80.6</v>
      </c>
      <c r="B4">
        <v>14</v>
      </c>
      <c r="C4">
        <v>0</v>
      </c>
      <c r="D4">
        <v>2.39529120198265</v>
      </c>
      <c r="E4">
        <v>0</v>
      </c>
      <c r="F4">
        <v>3.90566524114526</v>
      </c>
      <c r="G4">
        <v>193.3</v>
      </c>
      <c r="H4">
        <v>1</v>
      </c>
      <c r="I4">
        <v>0.765131919292472</v>
      </c>
      <c r="J4">
        <v>29</v>
      </c>
      <c r="K4">
        <v>11.1</v>
      </c>
      <c r="L4">
        <v>1.7931013918917</v>
      </c>
      <c r="M4">
        <v>4.92420300036664</v>
      </c>
      <c r="N4">
        <v>807</v>
      </c>
      <c r="O4" t="s">
        <v>66</v>
      </c>
      <c r="P4" t="s">
        <v>52</v>
      </c>
    </row>
    <row r="5" spans="1:16">
      <c r="A5">
        <v>38.4</v>
      </c>
      <c r="B5">
        <v>20</v>
      </c>
      <c r="C5">
        <v>0</v>
      </c>
      <c r="D5">
        <v>6.03376623376623</v>
      </c>
      <c r="E5">
        <v>4</v>
      </c>
      <c r="F5">
        <v>6.14888223221324</v>
      </c>
      <c r="G5">
        <v>232.3</v>
      </c>
      <c r="H5">
        <v>1</v>
      </c>
      <c r="I5">
        <v>0.923374946186297</v>
      </c>
      <c r="J5">
        <v>7.1</v>
      </c>
      <c r="K5">
        <v>10.9</v>
      </c>
      <c r="L5">
        <v>0.616578963724916</v>
      </c>
      <c r="M5">
        <v>2.0033188167728</v>
      </c>
      <c r="N5">
        <v>385</v>
      </c>
      <c r="O5" t="s">
        <v>69</v>
      </c>
      <c r="P5" t="s">
        <v>52</v>
      </c>
    </row>
    <row r="6" spans="1:16">
      <c r="A6">
        <v>58.1</v>
      </c>
      <c r="B6">
        <v>7</v>
      </c>
      <c r="C6">
        <v>0</v>
      </c>
      <c r="D6">
        <v>1.45360824742268</v>
      </c>
      <c r="E6">
        <v>0</v>
      </c>
      <c r="F6">
        <v>2.07029952961089</v>
      </c>
      <c r="G6">
        <v>84.6</v>
      </c>
      <c r="H6">
        <v>2</v>
      </c>
      <c r="I6">
        <v>0.752955082733416</v>
      </c>
      <c r="J6">
        <v>33.2</v>
      </c>
      <c r="K6">
        <v>9.9</v>
      </c>
      <c r="L6">
        <v>1.24650177497084</v>
      </c>
      <c r="M6">
        <v>3.35204284553244</v>
      </c>
      <c r="N6">
        <v>582</v>
      </c>
      <c r="O6" t="s">
        <v>72</v>
      </c>
      <c r="P6" t="s">
        <v>52</v>
      </c>
    </row>
    <row r="7" spans="1:16">
      <c r="A7">
        <v>22</v>
      </c>
      <c r="B7">
        <v>10</v>
      </c>
      <c r="C7">
        <v>0</v>
      </c>
      <c r="D7">
        <v>4.07692307692308</v>
      </c>
      <c r="E7">
        <v>3</v>
      </c>
      <c r="F7">
        <v>3.89620579287332</v>
      </c>
      <c r="G7">
        <v>90.1</v>
      </c>
      <c r="H7">
        <v>0</v>
      </c>
      <c r="I7">
        <v>0.511653718085331</v>
      </c>
      <c r="J7">
        <v>3.7</v>
      </c>
      <c r="K7">
        <v>9.2</v>
      </c>
      <c r="L7">
        <v>0.24233879413122</v>
      </c>
      <c r="M7">
        <v>1.30485995691529</v>
      </c>
      <c r="N7">
        <v>221</v>
      </c>
      <c r="O7" t="s">
        <v>74</v>
      </c>
      <c r="P7" t="s">
        <v>52</v>
      </c>
    </row>
    <row r="8" spans="1:16">
      <c r="A8">
        <v>51.6</v>
      </c>
      <c r="B8">
        <v>16</v>
      </c>
      <c r="C8">
        <v>0</v>
      </c>
      <c r="D8">
        <v>6.30174081237911</v>
      </c>
      <c r="E8">
        <v>4</v>
      </c>
      <c r="F8">
        <v>6.26651746584543</v>
      </c>
      <c r="G8">
        <v>325.8</v>
      </c>
      <c r="H8">
        <v>1</v>
      </c>
      <c r="I8">
        <v>0.545119705339027</v>
      </c>
      <c r="J8">
        <v>16.1</v>
      </c>
      <c r="K8">
        <v>19.2</v>
      </c>
      <c r="L8">
        <v>0.367863231859297</v>
      </c>
      <c r="M8">
        <v>1.48742453046598</v>
      </c>
      <c r="N8">
        <v>517</v>
      </c>
      <c r="O8" t="s">
        <v>81</v>
      </c>
      <c r="P8" t="s">
        <v>52</v>
      </c>
    </row>
    <row r="9" spans="1:16">
      <c r="A9">
        <v>29.6</v>
      </c>
      <c r="B9">
        <v>25</v>
      </c>
      <c r="C9">
        <v>0</v>
      </c>
      <c r="D9">
        <v>10.8148148148148</v>
      </c>
      <c r="E9">
        <v>17</v>
      </c>
      <c r="F9">
        <v>9.55015473463417</v>
      </c>
      <c r="G9">
        <v>321.2</v>
      </c>
      <c r="H9">
        <v>1</v>
      </c>
      <c r="I9">
        <v>-0.639788293895891</v>
      </c>
      <c r="J9">
        <v>14.9</v>
      </c>
      <c r="K9">
        <v>16.2</v>
      </c>
      <c r="L9">
        <v>-0.0828506840850285</v>
      </c>
      <c r="M9">
        <v>1.23276161598745</v>
      </c>
      <c r="N9">
        <v>297</v>
      </c>
      <c r="O9" t="s">
        <v>86</v>
      </c>
      <c r="P9" t="s">
        <v>52</v>
      </c>
    </row>
    <row r="10" spans="1:16">
      <c r="A10">
        <v>112.3</v>
      </c>
      <c r="B10">
        <v>7</v>
      </c>
      <c r="C10">
        <v>0</v>
      </c>
      <c r="D10">
        <v>0.756227758007117</v>
      </c>
      <c r="E10">
        <v>0</v>
      </c>
      <c r="F10">
        <v>1.60952374987739</v>
      </c>
      <c r="G10">
        <v>85</v>
      </c>
      <c r="H10">
        <v>1</v>
      </c>
      <c r="I10">
        <v>0.0552941176464094</v>
      </c>
      <c r="J10">
        <v>93.1</v>
      </c>
      <c r="K10">
        <v>10.9</v>
      </c>
      <c r="L10">
        <v>2.17116803971386</v>
      </c>
      <c r="M10">
        <v>6.66943686548943</v>
      </c>
      <c r="N10">
        <v>1124</v>
      </c>
      <c r="O10" t="s">
        <v>89</v>
      </c>
      <c r="P10" t="s">
        <v>52</v>
      </c>
    </row>
    <row r="11" spans="1:16">
      <c r="A11">
        <v>79.2</v>
      </c>
      <c r="B11">
        <v>4</v>
      </c>
      <c r="C11">
        <v>0</v>
      </c>
      <c r="D11">
        <v>0.96469104665826</v>
      </c>
      <c r="E11">
        <v>1</v>
      </c>
      <c r="F11">
        <v>1.02925106960148</v>
      </c>
      <c r="G11">
        <v>76.5</v>
      </c>
      <c r="H11">
        <v>0</v>
      </c>
      <c r="I11">
        <v>0.304575163394712</v>
      </c>
      <c r="J11">
        <v>27.7</v>
      </c>
      <c r="K11">
        <v>4.4</v>
      </c>
      <c r="L11">
        <v>0.877058099960639</v>
      </c>
      <c r="M11">
        <v>3.14143212226232</v>
      </c>
      <c r="N11">
        <v>793</v>
      </c>
      <c r="O11" t="s">
        <v>92</v>
      </c>
      <c r="P11" t="s">
        <v>52</v>
      </c>
    </row>
    <row r="12" spans="1:16">
      <c r="A12">
        <v>81.5</v>
      </c>
      <c r="B12">
        <v>2</v>
      </c>
      <c r="C12">
        <v>0</v>
      </c>
      <c r="D12">
        <v>0.881127450980392</v>
      </c>
      <c r="E12">
        <v>1</v>
      </c>
      <c r="F12">
        <v>0.919768817809587</v>
      </c>
      <c r="G12">
        <v>71.9</v>
      </c>
      <c r="H12">
        <v>0</v>
      </c>
      <c r="I12">
        <v>0.905424200265571</v>
      </c>
      <c r="J12">
        <v>28.2</v>
      </c>
      <c r="K12">
        <v>0.699999999999999</v>
      </c>
      <c r="L12">
        <v>0.237071974172103</v>
      </c>
      <c r="M12">
        <v>1.22532225739736</v>
      </c>
      <c r="N12">
        <v>816</v>
      </c>
      <c r="O12" t="s">
        <v>95</v>
      </c>
      <c r="P12" t="s">
        <v>52</v>
      </c>
    </row>
    <row r="13" spans="1:16">
      <c r="A13">
        <v>32.2</v>
      </c>
      <c r="B13">
        <v>37</v>
      </c>
      <c r="C13">
        <v>0</v>
      </c>
      <c r="D13">
        <v>12.5479876160991</v>
      </c>
      <c r="E13">
        <v>5</v>
      </c>
      <c r="F13">
        <v>14.2037094043974</v>
      </c>
      <c r="G13">
        <v>405.3</v>
      </c>
      <c r="H13">
        <v>0</v>
      </c>
      <c r="I13">
        <v>-0.0375030841351157</v>
      </c>
      <c r="J13">
        <v>17.9</v>
      </c>
      <c r="K13">
        <v>11.3</v>
      </c>
      <c r="L13">
        <v>0.570231931622636</v>
      </c>
      <c r="M13">
        <v>1.63195444546501</v>
      </c>
      <c r="N13">
        <v>323</v>
      </c>
      <c r="O13" t="s">
        <v>98</v>
      </c>
      <c r="P13" t="s">
        <v>52</v>
      </c>
    </row>
    <row r="14" spans="1:16">
      <c r="A14">
        <v>31.2</v>
      </c>
      <c r="B14">
        <v>17</v>
      </c>
      <c r="C14">
        <v>0</v>
      </c>
      <c r="D14">
        <v>5.15335463258786</v>
      </c>
      <c r="E14">
        <v>1</v>
      </c>
      <c r="F14">
        <v>6.05652831122996</v>
      </c>
      <c r="G14">
        <v>161.3</v>
      </c>
      <c r="H14">
        <v>1</v>
      </c>
      <c r="I14">
        <v>0.37941723496355</v>
      </c>
      <c r="J14">
        <v>12.8</v>
      </c>
      <c r="K14">
        <v>10.4</v>
      </c>
      <c r="L14">
        <v>0.648801062092352</v>
      </c>
      <c r="M14">
        <v>1.73260242432192</v>
      </c>
      <c r="N14">
        <v>313</v>
      </c>
      <c r="O14" t="s">
        <v>101</v>
      </c>
      <c r="P14" t="s">
        <v>52</v>
      </c>
    </row>
    <row r="15" spans="1:16">
      <c r="A15">
        <v>101.1</v>
      </c>
      <c r="B15">
        <v>20</v>
      </c>
      <c r="C15">
        <v>0</v>
      </c>
      <c r="D15">
        <v>3.91403162055336</v>
      </c>
      <c r="E15">
        <v>0</v>
      </c>
      <c r="F15">
        <v>6.93844068936173</v>
      </c>
      <c r="G15">
        <v>396.1</v>
      </c>
      <c r="H15">
        <v>4</v>
      </c>
      <c r="I15">
        <v>0.289068417065668</v>
      </c>
      <c r="J15">
        <v>77.1</v>
      </c>
      <c r="K15">
        <v>21.1</v>
      </c>
      <c r="L15">
        <v>1.36714938137427</v>
      </c>
      <c r="M15">
        <v>3.03376627378898</v>
      </c>
      <c r="N15">
        <v>1012</v>
      </c>
      <c r="O15" t="s">
        <v>104</v>
      </c>
      <c r="P15" t="s">
        <v>52</v>
      </c>
    </row>
    <row r="16" spans="1:16">
      <c r="A16">
        <v>71.8</v>
      </c>
      <c r="B16">
        <v>2</v>
      </c>
      <c r="C16">
        <v>0</v>
      </c>
      <c r="D16">
        <v>0.340751043115438</v>
      </c>
      <c r="E16">
        <v>0</v>
      </c>
      <c r="F16">
        <v>0.542761938145636</v>
      </c>
      <c r="G16">
        <v>24.5</v>
      </c>
      <c r="H16">
        <v>2</v>
      </c>
      <c r="I16">
        <v>0.795918367314452</v>
      </c>
      <c r="J16">
        <v>12.9</v>
      </c>
      <c r="K16">
        <v>2.6</v>
      </c>
      <c r="L16">
        <v>1.31037274493365</v>
      </c>
      <c r="M16">
        <v>3.74534282685543</v>
      </c>
      <c r="N16">
        <v>719</v>
      </c>
      <c r="O16" t="s">
        <v>107</v>
      </c>
      <c r="P16" t="s">
        <v>52</v>
      </c>
    </row>
    <row r="17" spans="1:16">
      <c r="A17">
        <v>103.7</v>
      </c>
      <c r="B17">
        <v>1026</v>
      </c>
      <c r="C17">
        <v>0</v>
      </c>
      <c r="D17">
        <v>14.0105973025048</v>
      </c>
      <c r="E17">
        <v>0</v>
      </c>
      <c r="F17">
        <v>74.9997549557531</v>
      </c>
      <c r="G17">
        <v>1454.3</v>
      </c>
      <c r="H17">
        <v>1</v>
      </c>
      <c r="I17">
        <v>0.454032868046173</v>
      </c>
      <c r="J17">
        <v>29.3</v>
      </c>
      <c r="K17">
        <v>0.800000000000001</v>
      </c>
      <c r="L17">
        <v>10.6510661886291</v>
      </c>
      <c r="M17">
        <v>124.630101408657</v>
      </c>
      <c r="N17">
        <v>1038</v>
      </c>
      <c r="O17" t="s">
        <v>114</v>
      </c>
      <c r="P17" t="s">
        <v>52</v>
      </c>
    </row>
    <row r="18" spans="1:16">
      <c r="A18">
        <v>56.7</v>
      </c>
      <c r="B18">
        <v>5</v>
      </c>
      <c r="C18">
        <v>0</v>
      </c>
      <c r="D18">
        <v>1.29753521126761</v>
      </c>
      <c r="E18">
        <v>0</v>
      </c>
      <c r="F18">
        <v>1.69068229200953</v>
      </c>
      <c r="G18">
        <v>73.7</v>
      </c>
      <c r="H18">
        <v>0</v>
      </c>
      <c r="I18">
        <v>-0.594301221158829</v>
      </c>
      <c r="J18">
        <v>41.9</v>
      </c>
      <c r="K18">
        <v>15</v>
      </c>
      <c r="L18">
        <v>0.757342085951289</v>
      </c>
      <c r="M18">
        <v>1.85404940211622</v>
      </c>
      <c r="N18">
        <v>568</v>
      </c>
      <c r="O18" t="s">
        <v>118</v>
      </c>
      <c r="P18" t="s">
        <v>52</v>
      </c>
    </row>
    <row r="19" spans="1:16">
      <c r="A19">
        <v>172.3</v>
      </c>
      <c r="B19">
        <v>8</v>
      </c>
      <c r="C19">
        <v>0</v>
      </c>
      <c r="D19">
        <v>1.62470997679814</v>
      </c>
      <c r="E19">
        <v>0</v>
      </c>
      <c r="F19">
        <v>2.25637516316593</v>
      </c>
      <c r="G19">
        <v>280.1</v>
      </c>
      <c r="H19">
        <v>1</v>
      </c>
      <c r="I19">
        <v>0.55730096393946</v>
      </c>
      <c r="J19">
        <v>97.2</v>
      </c>
      <c r="K19">
        <v>20.8</v>
      </c>
      <c r="L19">
        <v>1.16934157293562</v>
      </c>
      <c r="M19">
        <v>3.20791694338174</v>
      </c>
      <c r="N19">
        <v>1724</v>
      </c>
      <c r="O19" t="s">
        <v>124</v>
      </c>
      <c r="P19" t="s">
        <v>52</v>
      </c>
    </row>
    <row r="20" spans="1:16">
      <c r="A20">
        <v>60</v>
      </c>
      <c r="B20">
        <v>9</v>
      </c>
      <c r="C20">
        <v>0</v>
      </c>
      <c r="D20">
        <v>2.62063227953411</v>
      </c>
      <c r="E20">
        <v>2</v>
      </c>
      <c r="F20">
        <v>2.7873237342577</v>
      </c>
      <c r="G20">
        <v>157.5</v>
      </c>
      <c r="H20">
        <v>6</v>
      </c>
      <c r="I20">
        <v>0.716190476185929</v>
      </c>
      <c r="J20">
        <v>6.9</v>
      </c>
      <c r="K20">
        <v>13.1</v>
      </c>
      <c r="L20">
        <v>0.91170901002565</v>
      </c>
      <c r="M20">
        <v>2.68867610817562</v>
      </c>
      <c r="N20">
        <v>601</v>
      </c>
      <c r="O20" t="s">
        <v>127</v>
      </c>
      <c r="P20" t="s">
        <v>52</v>
      </c>
    </row>
    <row r="21" spans="1:16">
      <c r="A21">
        <v>35.8</v>
      </c>
      <c r="B21">
        <v>9</v>
      </c>
      <c r="C21">
        <v>0</v>
      </c>
      <c r="D21">
        <v>1.22841225626741</v>
      </c>
      <c r="E21">
        <v>0</v>
      </c>
      <c r="F21">
        <v>1.80104733263024</v>
      </c>
      <c r="G21">
        <v>44.1</v>
      </c>
      <c r="H21">
        <v>2</v>
      </c>
      <c r="I21">
        <v>0.884353741476545</v>
      </c>
      <c r="J21">
        <v>4.8</v>
      </c>
      <c r="K21">
        <v>2.3</v>
      </c>
      <c r="L21">
        <v>2.00325657768648</v>
      </c>
      <c r="M21">
        <v>7.34234983323551</v>
      </c>
      <c r="N21">
        <v>359</v>
      </c>
      <c r="O21" t="s">
        <v>135</v>
      </c>
      <c r="P21" t="s">
        <v>52</v>
      </c>
    </row>
    <row r="22" spans="1:16">
      <c r="A22">
        <v>93.4</v>
      </c>
      <c r="B22">
        <v>4</v>
      </c>
      <c r="C22">
        <v>0</v>
      </c>
      <c r="D22">
        <v>0.718716577540107</v>
      </c>
      <c r="E22">
        <v>0</v>
      </c>
      <c r="F22">
        <v>1.11011625251768</v>
      </c>
      <c r="G22">
        <v>67.2</v>
      </c>
      <c r="H22">
        <v>0</v>
      </c>
      <c r="I22">
        <v>0.964285714271365</v>
      </c>
      <c r="J22">
        <v>20.5</v>
      </c>
      <c r="K22">
        <v>3.3</v>
      </c>
      <c r="L22">
        <v>1.48235934454836</v>
      </c>
      <c r="M22">
        <v>4.24764494721268</v>
      </c>
      <c r="N22">
        <v>935</v>
      </c>
      <c r="O22" t="s">
        <v>138</v>
      </c>
      <c r="P22" t="s">
        <v>52</v>
      </c>
    </row>
    <row r="23" spans="1:16">
      <c r="A23">
        <v>113</v>
      </c>
      <c r="B23">
        <v>17</v>
      </c>
      <c r="C23">
        <v>0</v>
      </c>
      <c r="D23">
        <v>2.92396109637489</v>
      </c>
      <c r="E23">
        <v>0</v>
      </c>
      <c r="F23">
        <v>5.36140424201279</v>
      </c>
      <c r="G23">
        <v>330.7</v>
      </c>
      <c r="H23">
        <v>1</v>
      </c>
      <c r="I23">
        <v>0.267311762926316</v>
      </c>
      <c r="J23">
        <v>79.1</v>
      </c>
      <c r="K23">
        <v>18.5</v>
      </c>
      <c r="L23">
        <v>1.63078822791608</v>
      </c>
      <c r="M23">
        <v>4.11019039453929</v>
      </c>
      <c r="N23">
        <v>1131</v>
      </c>
      <c r="O23" t="s">
        <v>141</v>
      </c>
      <c r="P23" t="s">
        <v>52</v>
      </c>
    </row>
    <row r="24" spans="1:16">
      <c r="A24">
        <v>54.8</v>
      </c>
      <c r="B24">
        <v>10</v>
      </c>
      <c r="C24">
        <v>0</v>
      </c>
      <c r="D24">
        <v>3.04735883424408</v>
      </c>
      <c r="E24">
        <v>2</v>
      </c>
      <c r="F24">
        <v>3.57014400696836</v>
      </c>
      <c r="G24">
        <v>167.3</v>
      </c>
      <c r="H24">
        <v>0</v>
      </c>
      <c r="I24">
        <v>0.613867304240204</v>
      </c>
      <c r="J24">
        <v>16.7</v>
      </c>
      <c r="K24">
        <v>15</v>
      </c>
      <c r="L24">
        <v>0.800740278061772</v>
      </c>
      <c r="M24">
        <v>2.1216050160204</v>
      </c>
      <c r="N24">
        <v>549</v>
      </c>
      <c r="O24" t="s">
        <v>144</v>
      </c>
      <c r="P24" t="s">
        <v>52</v>
      </c>
    </row>
    <row r="25" spans="1:16">
      <c r="A25">
        <v>116.4</v>
      </c>
      <c r="B25">
        <v>10</v>
      </c>
      <c r="C25">
        <v>0</v>
      </c>
      <c r="D25">
        <v>0.339914163090129</v>
      </c>
      <c r="E25">
        <v>0</v>
      </c>
      <c r="F25">
        <v>1.16558393231831</v>
      </c>
      <c r="G25">
        <v>39.6</v>
      </c>
      <c r="H25">
        <v>1</v>
      </c>
      <c r="I25">
        <v>0.858585858564176</v>
      </c>
      <c r="J25">
        <v>35.7</v>
      </c>
      <c r="K25">
        <v>2.1</v>
      </c>
      <c r="L25">
        <v>4.79557182363094</v>
      </c>
      <c r="M25">
        <v>29.5398615042242</v>
      </c>
      <c r="N25">
        <v>1165</v>
      </c>
      <c r="O25" t="s">
        <v>147</v>
      </c>
      <c r="P25" t="s">
        <v>52</v>
      </c>
    </row>
    <row r="26" spans="1:16">
      <c r="A26">
        <v>47</v>
      </c>
      <c r="B26">
        <v>10</v>
      </c>
      <c r="C26">
        <v>0</v>
      </c>
      <c r="D26">
        <v>4.38428874734607</v>
      </c>
      <c r="E26">
        <v>5</v>
      </c>
      <c r="F26">
        <v>3.63594458935682</v>
      </c>
      <c r="G26">
        <v>206.5</v>
      </c>
      <c r="H26">
        <v>1</v>
      </c>
      <c r="I26">
        <v>0.506053268762683</v>
      </c>
      <c r="J26">
        <v>13.5</v>
      </c>
      <c r="K26">
        <v>22.4</v>
      </c>
      <c r="L26">
        <v>0.0201615556734538</v>
      </c>
      <c r="M26">
        <v>1.36877713480008</v>
      </c>
      <c r="N26">
        <v>471</v>
      </c>
      <c r="O26" t="s">
        <v>151</v>
      </c>
      <c r="P26" t="s">
        <v>52</v>
      </c>
    </row>
    <row r="27" spans="1:16">
      <c r="A27">
        <v>128.1</v>
      </c>
      <c r="B27">
        <v>8</v>
      </c>
      <c r="C27">
        <v>0</v>
      </c>
      <c r="D27">
        <v>3.30655226209048</v>
      </c>
      <c r="E27">
        <v>3</v>
      </c>
      <c r="F27">
        <v>2.84308945671061</v>
      </c>
      <c r="G27">
        <v>423.9</v>
      </c>
      <c r="H27">
        <v>2</v>
      </c>
      <c r="I27">
        <v>0.471573484311225</v>
      </c>
      <c r="J27">
        <v>27.8</v>
      </c>
      <c r="K27">
        <v>49.9</v>
      </c>
      <c r="L27">
        <v>0.185998999981067</v>
      </c>
      <c r="M27">
        <v>1.47333270906855</v>
      </c>
      <c r="N27">
        <v>1282</v>
      </c>
      <c r="O27" t="s">
        <v>156</v>
      </c>
      <c r="P27" t="s">
        <v>52</v>
      </c>
    </row>
    <row r="28" spans="1:16">
      <c r="A28">
        <v>95.1</v>
      </c>
      <c r="B28">
        <v>2</v>
      </c>
      <c r="C28">
        <v>0</v>
      </c>
      <c r="D28">
        <v>0.335084033613445</v>
      </c>
      <c r="E28">
        <v>0</v>
      </c>
      <c r="F28">
        <v>0.538827048405991</v>
      </c>
      <c r="G28">
        <v>31.9</v>
      </c>
      <c r="H28">
        <v>0</v>
      </c>
      <c r="I28">
        <v>0.91849529777685</v>
      </c>
      <c r="J28">
        <v>8.2</v>
      </c>
      <c r="K28">
        <v>0.200000000000001</v>
      </c>
      <c r="L28">
        <v>1.329043037032</v>
      </c>
      <c r="M28">
        <v>3.79753404504406</v>
      </c>
      <c r="N28">
        <v>952</v>
      </c>
      <c r="O28" t="s">
        <v>159</v>
      </c>
      <c r="P28" t="s">
        <v>52</v>
      </c>
    </row>
    <row r="29" spans="1:16">
      <c r="A29">
        <v>107.1</v>
      </c>
      <c r="B29">
        <v>5</v>
      </c>
      <c r="C29">
        <v>0</v>
      </c>
      <c r="D29">
        <v>1.21735074626866</v>
      </c>
      <c r="E29">
        <v>1</v>
      </c>
      <c r="F29">
        <v>1.27034600377187</v>
      </c>
      <c r="G29">
        <v>130.5</v>
      </c>
      <c r="H29">
        <v>3</v>
      </c>
      <c r="I29">
        <v>0.462835249038599</v>
      </c>
      <c r="J29">
        <v>31.6</v>
      </c>
      <c r="K29">
        <v>3.7</v>
      </c>
      <c r="L29">
        <v>0.842533541854222</v>
      </c>
      <c r="M29">
        <v>2.98112952352016</v>
      </c>
      <c r="N29">
        <v>1072</v>
      </c>
      <c r="O29" t="s">
        <v>163</v>
      </c>
      <c r="P29" t="s">
        <v>52</v>
      </c>
    </row>
    <row r="30" spans="1:16">
      <c r="A30">
        <v>15.1</v>
      </c>
      <c r="B30">
        <v>50</v>
      </c>
      <c r="C30">
        <v>0</v>
      </c>
      <c r="D30">
        <v>20.4210526315789</v>
      </c>
      <c r="E30">
        <v>15.5</v>
      </c>
      <c r="F30">
        <v>20.7793600841591</v>
      </c>
      <c r="G30">
        <v>310.4</v>
      </c>
      <c r="H30">
        <v>3</v>
      </c>
      <c r="I30">
        <v>-0.0818298969069528</v>
      </c>
      <c r="J30">
        <v>7.3</v>
      </c>
      <c r="K30">
        <v>5.8</v>
      </c>
      <c r="L30">
        <v>0.315023544283929</v>
      </c>
      <c r="M30">
        <v>1.34119257060034</v>
      </c>
      <c r="N30">
        <v>152</v>
      </c>
      <c r="O30" t="s">
        <v>168</v>
      </c>
      <c r="P30" t="s">
        <v>52</v>
      </c>
    </row>
    <row r="31" spans="1:16">
      <c r="A31">
        <v>37.4</v>
      </c>
      <c r="B31">
        <v>12</v>
      </c>
      <c r="C31">
        <v>0</v>
      </c>
      <c r="D31">
        <v>8.38133333333333</v>
      </c>
      <c r="E31">
        <v>11</v>
      </c>
      <c r="F31">
        <v>4.44829755734093</v>
      </c>
      <c r="G31">
        <v>314.3</v>
      </c>
      <c r="H31">
        <v>1</v>
      </c>
      <c r="I31">
        <v>0.962456251985484</v>
      </c>
      <c r="J31">
        <v>3.9</v>
      </c>
      <c r="K31">
        <v>28.3</v>
      </c>
      <c r="L31">
        <v>-1.13494409018648</v>
      </c>
      <c r="M31">
        <v>2.59163182155063</v>
      </c>
      <c r="N31">
        <v>375</v>
      </c>
      <c r="O31" t="s">
        <v>171</v>
      </c>
      <c r="P31" t="s">
        <v>52</v>
      </c>
    </row>
    <row r="32" spans="1:16">
      <c r="A32">
        <v>53.5</v>
      </c>
      <c r="B32">
        <v>12</v>
      </c>
      <c r="C32">
        <v>0</v>
      </c>
      <c r="D32">
        <v>5.29291044776119</v>
      </c>
      <c r="E32">
        <v>5</v>
      </c>
      <c r="F32">
        <v>4.1950155246171</v>
      </c>
      <c r="G32">
        <v>283.65</v>
      </c>
      <c r="H32">
        <v>2</v>
      </c>
      <c r="I32">
        <v>0.615018508723374</v>
      </c>
      <c r="J32">
        <v>12.4</v>
      </c>
      <c r="K32">
        <v>19.8</v>
      </c>
      <c r="L32">
        <v>0.275531304897656</v>
      </c>
      <c r="M32">
        <v>1.60314197913373</v>
      </c>
      <c r="N32">
        <v>536</v>
      </c>
      <c r="O32" t="s">
        <v>175</v>
      </c>
      <c r="P32" t="s">
        <v>52</v>
      </c>
    </row>
    <row r="33" spans="1:16">
      <c r="A33">
        <v>73.6</v>
      </c>
      <c r="B33">
        <v>11</v>
      </c>
      <c r="C33">
        <v>0</v>
      </c>
      <c r="D33">
        <v>6.26729986431479</v>
      </c>
      <c r="E33">
        <v>8</v>
      </c>
      <c r="F33">
        <v>3.65501849879523</v>
      </c>
      <c r="G33">
        <v>461.9</v>
      </c>
      <c r="H33">
        <v>5</v>
      </c>
      <c r="I33">
        <v>0.795410261959742</v>
      </c>
      <c r="J33">
        <v>13.6</v>
      </c>
      <c r="K33">
        <v>44.1</v>
      </c>
      <c r="L33">
        <v>-0.553605243395642</v>
      </c>
      <c r="M33">
        <v>1.91504671054256</v>
      </c>
      <c r="N33">
        <v>737</v>
      </c>
      <c r="O33" t="s">
        <v>181</v>
      </c>
      <c r="P33" t="s">
        <v>52</v>
      </c>
    </row>
    <row r="34" spans="1:16">
      <c r="A34">
        <v>86.4</v>
      </c>
      <c r="B34">
        <v>22</v>
      </c>
      <c r="C34">
        <v>0</v>
      </c>
      <c r="D34">
        <v>1.68323699421965</v>
      </c>
      <c r="E34">
        <v>1</v>
      </c>
      <c r="F34">
        <v>3.94481711899722</v>
      </c>
      <c r="G34">
        <v>145.6</v>
      </c>
      <c r="H34">
        <v>0</v>
      </c>
      <c r="I34">
        <v>0.2513736263719</v>
      </c>
      <c r="J34">
        <v>17.2</v>
      </c>
      <c r="K34">
        <v>4.1</v>
      </c>
      <c r="L34">
        <v>3.96791938914094</v>
      </c>
      <c r="M34">
        <v>18.3006327379282</v>
      </c>
      <c r="N34">
        <v>865</v>
      </c>
      <c r="O34" t="s">
        <v>185</v>
      </c>
      <c r="P34" t="s">
        <v>52</v>
      </c>
    </row>
    <row r="35" spans="1:16">
      <c r="A35">
        <v>147.2</v>
      </c>
      <c r="B35">
        <v>13</v>
      </c>
      <c r="C35">
        <v>0</v>
      </c>
      <c r="D35">
        <v>2.84521384928717</v>
      </c>
      <c r="E35">
        <v>0</v>
      </c>
      <c r="F35">
        <v>3.80295122433872</v>
      </c>
      <c r="G35">
        <v>419.1</v>
      </c>
      <c r="H35">
        <v>6</v>
      </c>
      <c r="I35">
        <v>0.608923884512983</v>
      </c>
      <c r="J35">
        <v>48.7</v>
      </c>
      <c r="K35">
        <v>14.2</v>
      </c>
      <c r="L35">
        <v>1.0895391244757</v>
      </c>
      <c r="M35">
        <v>2.85031605868767</v>
      </c>
      <c r="N35">
        <v>1473</v>
      </c>
      <c r="O35" t="s">
        <v>188</v>
      </c>
      <c r="P35" t="s">
        <v>52</v>
      </c>
    </row>
    <row r="36" spans="1:16">
      <c r="A36">
        <v>140.6</v>
      </c>
      <c r="B36">
        <v>5</v>
      </c>
      <c r="C36">
        <v>0</v>
      </c>
      <c r="D36">
        <v>0.700071073205402</v>
      </c>
      <c r="E36">
        <v>0</v>
      </c>
      <c r="F36">
        <v>0.986909336068547</v>
      </c>
      <c r="G36">
        <v>98.5</v>
      </c>
      <c r="H36">
        <v>1</v>
      </c>
      <c r="I36">
        <v>0.901522842630441</v>
      </c>
      <c r="J36">
        <v>25.7</v>
      </c>
      <c r="K36">
        <v>1.2</v>
      </c>
      <c r="L36">
        <v>1.37833121580326</v>
      </c>
      <c r="M36">
        <v>4.29716366422933</v>
      </c>
      <c r="N36">
        <v>1407</v>
      </c>
      <c r="O36" t="s">
        <v>192</v>
      </c>
      <c r="P36" t="s">
        <v>52</v>
      </c>
    </row>
    <row r="37" spans="1:16">
      <c r="A37">
        <v>53.3</v>
      </c>
      <c r="B37">
        <v>5</v>
      </c>
      <c r="C37">
        <v>0</v>
      </c>
      <c r="D37">
        <v>0.670411985018727</v>
      </c>
      <c r="E37">
        <v>0</v>
      </c>
      <c r="F37">
        <v>0.877050007413129</v>
      </c>
      <c r="G37">
        <v>35.8</v>
      </c>
      <c r="H37">
        <v>1</v>
      </c>
      <c r="I37">
        <v>0.930167597739381</v>
      </c>
      <c r="J37">
        <v>4.2</v>
      </c>
      <c r="K37">
        <v>0.7</v>
      </c>
      <c r="L37">
        <v>1.19278469253584</v>
      </c>
      <c r="M37">
        <v>4.47101659113114</v>
      </c>
      <c r="N37">
        <v>534</v>
      </c>
      <c r="O37" t="s">
        <v>201</v>
      </c>
      <c r="P37" t="s">
        <v>52</v>
      </c>
    </row>
    <row r="38" spans="1:16">
      <c r="A38">
        <v>86.7</v>
      </c>
      <c r="B38">
        <v>8</v>
      </c>
      <c r="C38">
        <v>0</v>
      </c>
      <c r="D38">
        <v>0.994239631336406</v>
      </c>
      <c r="E38">
        <v>0</v>
      </c>
      <c r="F38">
        <v>2.15943817668741</v>
      </c>
      <c r="G38">
        <v>86.3</v>
      </c>
      <c r="H38">
        <v>0</v>
      </c>
      <c r="I38">
        <v>0.842410196977492</v>
      </c>
      <c r="J38">
        <v>22.9</v>
      </c>
      <c r="K38">
        <v>8.8</v>
      </c>
      <c r="L38">
        <v>2.24500965428528</v>
      </c>
      <c r="M38">
        <v>6.78302499779665</v>
      </c>
      <c r="N38">
        <v>868</v>
      </c>
      <c r="O38" t="s">
        <v>205</v>
      </c>
      <c r="P38" t="s">
        <v>52</v>
      </c>
    </row>
    <row r="39" spans="1:16">
      <c r="A39">
        <v>130.5</v>
      </c>
      <c r="B39">
        <v>8</v>
      </c>
      <c r="C39">
        <v>0</v>
      </c>
      <c r="D39">
        <v>0.896630934150077</v>
      </c>
      <c r="E39">
        <v>0</v>
      </c>
      <c r="F39">
        <v>1.77186292337799</v>
      </c>
      <c r="G39">
        <v>117.1</v>
      </c>
      <c r="H39">
        <v>2</v>
      </c>
      <c r="I39">
        <v>0.810418445765923</v>
      </c>
      <c r="J39">
        <v>74.2</v>
      </c>
      <c r="K39">
        <v>2.40000000000001</v>
      </c>
      <c r="L39">
        <v>1.98893705388538</v>
      </c>
      <c r="M39">
        <v>5.96973202312747</v>
      </c>
      <c r="N39">
        <v>1306</v>
      </c>
      <c r="O39" t="s">
        <v>208</v>
      </c>
      <c r="P39" t="s">
        <v>52</v>
      </c>
    </row>
    <row r="40" spans="1:16">
      <c r="A40">
        <v>41</v>
      </c>
      <c r="B40">
        <v>21</v>
      </c>
      <c r="C40">
        <v>0</v>
      </c>
      <c r="D40">
        <v>4.00486618004866</v>
      </c>
      <c r="E40">
        <v>2</v>
      </c>
      <c r="F40">
        <v>5.22050139346038</v>
      </c>
      <c r="G40">
        <v>164.6</v>
      </c>
      <c r="H40">
        <v>2</v>
      </c>
      <c r="I40">
        <v>0.633657351150464</v>
      </c>
      <c r="J40">
        <v>5</v>
      </c>
      <c r="K40">
        <v>3.5</v>
      </c>
      <c r="L40">
        <v>1.67634987963109</v>
      </c>
      <c r="M40">
        <v>5.30289529120833</v>
      </c>
      <c r="N40">
        <v>411</v>
      </c>
      <c r="O40" t="s">
        <v>212</v>
      </c>
      <c r="P40" t="s">
        <v>52</v>
      </c>
    </row>
    <row r="41" spans="1:16">
      <c r="A41">
        <v>122.4</v>
      </c>
      <c r="B41">
        <v>7</v>
      </c>
      <c r="C41">
        <v>0</v>
      </c>
      <c r="D41">
        <v>1.12</v>
      </c>
      <c r="E41">
        <v>0</v>
      </c>
      <c r="F41">
        <v>1.80263061223951</v>
      </c>
      <c r="G41">
        <v>137.2</v>
      </c>
      <c r="H41">
        <v>2</v>
      </c>
      <c r="I41">
        <v>0.955539358593619</v>
      </c>
      <c r="J41">
        <v>16.4</v>
      </c>
      <c r="K41">
        <v>3.9</v>
      </c>
      <c r="L41">
        <v>1.58607177046795</v>
      </c>
      <c r="M41">
        <v>4.51106349230452</v>
      </c>
      <c r="N41">
        <v>1225</v>
      </c>
      <c r="O41" t="s">
        <v>215</v>
      </c>
      <c r="P41" t="s">
        <v>52</v>
      </c>
    </row>
    <row r="42" spans="1:16">
      <c r="A42">
        <v>32.2</v>
      </c>
      <c r="B42">
        <v>26</v>
      </c>
      <c r="C42">
        <v>0</v>
      </c>
      <c r="D42">
        <v>10.0928792569659</v>
      </c>
      <c r="E42">
        <v>5</v>
      </c>
      <c r="F42">
        <v>10.2538000261395</v>
      </c>
      <c r="G42">
        <v>326</v>
      </c>
      <c r="H42">
        <v>0</v>
      </c>
      <c r="I42">
        <v>0.257668711655651</v>
      </c>
      <c r="J42">
        <v>12.9</v>
      </c>
      <c r="K42">
        <v>13.8</v>
      </c>
      <c r="L42">
        <v>0.258184202975345</v>
      </c>
      <c r="M42">
        <v>1.25873925860039</v>
      </c>
      <c r="N42">
        <v>323</v>
      </c>
      <c r="O42" t="s">
        <v>219</v>
      </c>
      <c r="P42" t="s">
        <v>52</v>
      </c>
    </row>
    <row r="43" spans="1:16">
      <c r="A43">
        <v>66.1</v>
      </c>
      <c r="B43">
        <v>8</v>
      </c>
      <c r="C43">
        <v>0</v>
      </c>
      <c r="D43">
        <v>1.16918429003021</v>
      </c>
      <c r="E43">
        <v>0</v>
      </c>
      <c r="F43">
        <v>2.16807093000063</v>
      </c>
      <c r="G43">
        <v>77.4</v>
      </c>
      <c r="H43">
        <v>0</v>
      </c>
      <c r="I43">
        <v>0.304909560719575</v>
      </c>
      <c r="J43">
        <v>19.2</v>
      </c>
      <c r="K43">
        <v>7.7</v>
      </c>
      <c r="L43">
        <v>1.8507499568355</v>
      </c>
      <c r="M43">
        <v>5.19609076632465</v>
      </c>
      <c r="N43">
        <v>662</v>
      </c>
      <c r="O43" t="s">
        <v>225</v>
      </c>
      <c r="P43" t="s">
        <v>52</v>
      </c>
    </row>
    <row r="44" spans="1:16">
      <c r="A44">
        <v>138.1</v>
      </c>
      <c r="B44">
        <v>5</v>
      </c>
      <c r="C44">
        <v>0</v>
      </c>
      <c r="D44">
        <v>1.5123010130246</v>
      </c>
      <c r="E44">
        <v>1</v>
      </c>
      <c r="F44">
        <v>1.6246853163313</v>
      </c>
      <c r="G44">
        <v>209</v>
      </c>
      <c r="H44">
        <v>4</v>
      </c>
      <c r="I44">
        <v>0.411961722486067</v>
      </c>
      <c r="J44">
        <v>83.8</v>
      </c>
      <c r="K44">
        <v>42.2</v>
      </c>
      <c r="L44">
        <v>0.469523775300753</v>
      </c>
      <c r="M44">
        <v>1.64867753305553</v>
      </c>
      <c r="N44">
        <v>1382</v>
      </c>
      <c r="O44" t="s">
        <v>229</v>
      </c>
      <c r="P44" t="s">
        <v>52</v>
      </c>
    </row>
    <row r="45" spans="1:16">
      <c r="A45">
        <v>61.5</v>
      </c>
      <c r="B45">
        <v>7</v>
      </c>
      <c r="C45">
        <v>0</v>
      </c>
      <c r="D45">
        <v>4.27597402597403</v>
      </c>
      <c r="E45">
        <v>5</v>
      </c>
      <c r="F45">
        <v>2.69389083487408</v>
      </c>
      <c r="G45">
        <v>263.4</v>
      </c>
      <c r="H45">
        <v>2</v>
      </c>
      <c r="I45">
        <v>0.774107820801921</v>
      </c>
      <c r="J45">
        <v>14.9</v>
      </c>
      <c r="K45">
        <v>38.9</v>
      </c>
      <c r="L45">
        <v>-0.507273936523258</v>
      </c>
      <c r="M45">
        <v>1.67595598134573</v>
      </c>
      <c r="N45">
        <v>616</v>
      </c>
      <c r="O45" t="s">
        <v>238</v>
      </c>
      <c r="P45" t="s">
        <v>52</v>
      </c>
    </row>
    <row r="46" spans="1:16">
      <c r="A46">
        <v>48.9</v>
      </c>
      <c r="B46">
        <v>13</v>
      </c>
      <c r="C46">
        <v>0</v>
      </c>
      <c r="D46">
        <v>3.57959183673469</v>
      </c>
      <c r="E46">
        <v>2</v>
      </c>
      <c r="F46">
        <v>3.8804728272099</v>
      </c>
      <c r="G46">
        <v>175.35</v>
      </c>
      <c r="H46">
        <v>0</v>
      </c>
      <c r="I46">
        <v>0.512403763897848</v>
      </c>
      <c r="J46">
        <v>24.6</v>
      </c>
      <c r="K46">
        <v>12.4</v>
      </c>
      <c r="L46">
        <v>0.649842988906117</v>
      </c>
      <c r="M46">
        <v>2.08331280187626</v>
      </c>
      <c r="N46">
        <v>490</v>
      </c>
      <c r="O46" t="s">
        <v>244</v>
      </c>
      <c r="P46" t="s">
        <v>52</v>
      </c>
    </row>
    <row r="47" spans="1:16">
      <c r="A47">
        <v>58.6</v>
      </c>
      <c r="B47">
        <v>12</v>
      </c>
      <c r="C47">
        <v>0</v>
      </c>
      <c r="D47">
        <v>3.70528109028961</v>
      </c>
      <c r="E47">
        <v>2</v>
      </c>
      <c r="F47">
        <v>3.95322774516644</v>
      </c>
      <c r="G47">
        <v>217.5</v>
      </c>
      <c r="H47">
        <v>1</v>
      </c>
      <c r="I47">
        <v>0.88689655172006</v>
      </c>
      <c r="J47">
        <v>6.3</v>
      </c>
      <c r="K47">
        <v>15.8</v>
      </c>
      <c r="L47">
        <v>0.638797828593884</v>
      </c>
      <c r="M47">
        <v>1.8048461240647</v>
      </c>
      <c r="N47">
        <v>587</v>
      </c>
      <c r="O47" t="s">
        <v>248</v>
      </c>
      <c r="P47" t="s">
        <v>52</v>
      </c>
    </row>
    <row r="48" spans="1:16">
      <c r="A48">
        <v>64.4</v>
      </c>
      <c r="B48">
        <v>4</v>
      </c>
      <c r="C48">
        <v>0</v>
      </c>
      <c r="D48">
        <v>2.26666666666667</v>
      </c>
      <c r="E48">
        <v>3</v>
      </c>
      <c r="F48">
        <v>1.36170639508604</v>
      </c>
      <c r="G48">
        <v>146.2</v>
      </c>
      <c r="H48">
        <v>2</v>
      </c>
      <c r="I48">
        <v>0.630642954852048</v>
      </c>
      <c r="J48">
        <v>16.2</v>
      </c>
      <c r="K48">
        <v>39.7</v>
      </c>
      <c r="L48">
        <v>-0.725959645512828</v>
      </c>
      <c r="M48">
        <v>2.13563120159845</v>
      </c>
      <c r="N48">
        <v>645</v>
      </c>
      <c r="O48" t="s">
        <v>257</v>
      </c>
      <c r="P48" t="s">
        <v>52</v>
      </c>
    </row>
    <row r="49" spans="1:16">
      <c r="A49">
        <v>40</v>
      </c>
      <c r="B49">
        <v>6</v>
      </c>
      <c r="C49">
        <v>0</v>
      </c>
      <c r="D49">
        <v>1.23690773067332</v>
      </c>
      <c r="E49">
        <v>0</v>
      </c>
      <c r="F49">
        <v>1.81417596003395</v>
      </c>
      <c r="G49">
        <v>49.6</v>
      </c>
      <c r="H49">
        <v>0</v>
      </c>
      <c r="I49">
        <v>0.24193548386609</v>
      </c>
      <c r="J49">
        <v>14.6</v>
      </c>
      <c r="K49">
        <v>6.6</v>
      </c>
      <c r="L49">
        <v>1.26018335630975</v>
      </c>
      <c r="M49">
        <v>3.15723167274367</v>
      </c>
      <c r="N49">
        <v>401</v>
      </c>
      <c r="O49" t="s">
        <v>260</v>
      </c>
      <c r="P49" t="s">
        <v>52</v>
      </c>
    </row>
    <row r="50" spans="1:16">
      <c r="A50">
        <v>54.2</v>
      </c>
      <c r="B50">
        <v>7</v>
      </c>
      <c r="C50">
        <v>0</v>
      </c>
      <c r="D50">
        <v>2.80294659300184</v>
      </c>
      <c r="E50">
        <v>3</v>
      </c>
      <c r="F50">
        <v>2.32978281831961</v>
      </c>
      <c r="G50">
        <v>152.2</v>
      </c>
      <c r="H50">
        <v>3</v>
      </c>
      <c r="I50">
        <v>0.714191852820538</v>
      </c>
      <c r="J50">
        <v>7.1</v>
      </c>
      <c r="K50">
        <v>23.9</v>
      </c>
      <c r="L50">
        <v>0.0058849028290184</v>
      </c>
      <c r="M50">
        <v>1.58733735208696</v>
      </c>
      <c r="N50">
        <v>543</v>
      </c>
      <c r="O50" t="s">
        <v>263</v>
      </c>
      <c r="P50" t="s">
        <v>52</v>
      </c>
    </row>
    <row r="51" spans="1:16">
      <c r="A51">
        <v>118.1</v>
      </c>
      <c r="B51">
        <v>14</v>
      </c>
      <c r="C51">
        <v>0</v>
      </c>
      <c r="D51">
        <v>1.30541455160744</v>
      </c>
      <c r="E51">
        <v>1</v>
      </c>
      <c r="F51">
        <v>1.71133229114861</v>
      </c>
      <c r="G51">
        <v>154.3</v>
      </c>
      <c r="H51">
        <v>6</v>
      </c>
      <c r="I51">
        <v>0.944264419954995</v>
      </c>
      <c r="J51">
        <v>21.9</v>
      </c>
      <c r="K51">
        <v>1</v>
      </c>
      <c r="L51">
        <v>2.31862386891615</v>
      </c>
      <c r="M51">
        <v>13.6572582128044</v>
      </c>
      <c r="N51">
        <v>1182</v>
      </c>
      <c r="O51" t="s">
        <v>266</v>
      </c>
      <c r="P51" t="s">
        <v>52</v>
      </c>
    </row>
    <row r="52" spans="1:16">
      <c r="A52">
        <v>28.7</v>
      </c>
      <c r="B52">
        <v>26</v>
      </c>
      <c r="C52">
        <v>0</v>
      </c>
      <c r="D52">
        <v>6.62847222222222</v>
      </c>
      <c r="E52">
        <v>1</v>
      </c>
      <c r="F52">
        <v>7.98937590018689</v>
      </c>
      <c r="G52">
        <v>190.9</v>
      </c>
      <c r="H52">
        <v>1</v>
      </c>
      <c r="I52">
        <v>-0.41644840230269</v>
      </c>
      <c r="J52">
        <v>12.9</v>
      </c>
      <c r="K52">
        <v>2.2</v>
      </c>
      <c r="L52">
        <v>0.638404417591301</v>
      </c>
      <c r="M52">
        <v>1.73015271534836</v>
      </c>
      <c r="N52">
        <v>288</v>
      </c>
      <c r="O52" t="s">
        <v>269</v>
      </c>
      <c r="P52" t="s">
        <v>52</v>
      </c>
    </row>
    <row r="53" spans="1:16">
      <c r="A53">
        <v>109.9</v>
      </c>
      <c r="B53">
        <v>6</v>
      </c>
      <c r="C53">
        <v>0</v>
      </c>
      <c r="D53">
        <v>1.50181818181818</v>
      </c>
      <c r="E53">
        <v>1</v>
      </c>
      <c r="F53">
        <v>1.55955371571735</v>
      </c>
      <c r="G53">
        <v>165.2</v>
      </c>
      <c r="H53">
        <v>1</v>
      </c>
      <c r="I53">
        <v>0.414043583532603</v>
      </c>
      <c r="J53">
        <v>31.3</v>
      </c>
      <c r="K53">
        <v>8.4</v>
      </c>
      <c r="L53">
        <v>0.641002425637235</v>
      </c>
      <c r="M53">
        <v>2.16096497656984</v>
      </c>
      <c r="N53">
        <v>1100</v>
      </c>
      <c r="O53" t="s">
        <v>273</v>
      </c>
      <c r="P53" t="s">
        <v>52</v>
      </c>
    </row>
    <row r="54" spans="1:16">
      <c r="A54">
        <v>31.7</v>
      </c>
      <c r="B54">
        <v>10</v>
      </c>
      <c r="C54">
        <v>0</v>
      </c>
      <c r="D54">
        <v>3.64150943396226</v>
      </c>
      <c r="E54">
        <v>1</v>
      </c>
      <c r="F54">
        <v>4.17334643030692</v>
      </c>
      <c r="G54">
        <v>115.8</v>
      </c>
      <c r="H54">
        <v>0</v>
      </c>
      <c r="I54">
        <v>0.518134715021432</v>
      </c>
      <c r="J54">
        <v>11.2</v>
      </c>
      <c r="K54">
        <v>11.6</v>
      </c>
      <c r="L54">
        <v>0.525289883858269</v>
      </c>
      <c r="M54">
        <v>1.49137118575207</v>
      </c>
      <c r="N54">
        <v>318</v>
      </c>
      <c r="O54" t="s">
        <v>279</v>
      </c>
      <c r="P54" t="s">
        <v>52</v>
      </c>
    </row>
    <row r="55" spans="1:16">
      <c r="A55">
        <v>68.1</v>
      </c>
      <c r="B55">
        <v>7</v>
      </c>
      <c r="C55">
        <v>0</v>
      </c>
      <c r="D55">
        <v>3.03958944281525</v>
      </c>
      <c r="E55">
        <v>4</v>
      </c>
      <c r="F55">
        <v>2.05930112499668</v>
      </c>
      <c r="G55">
        <v>207.3</v>
      </c>
      <c r="H55">
        <v>2</v>
      </c>
      <c r="I55">
        <v>0.644476603952511</v>
      </c>
      <c r="J55">
        <v>22.3</v>
      </c>
      <c r="K55">
        <v>21.4</v>
      </c>
      <c r="L55">
        <v>-0.390397360336239</v>
      </c>
      <c r="M55">
        <v>1.83018417567494</v>
      </c>
      <c r="N55">
        <v>682</v>
      </c>
      <c r="O55" t="s">
        <v>285</v>
      </c>
      <c r="P55" t="s">
        <v>52</v>
      </c>
    </row>
    <row r="56" spans="1:16">
      <c r="A56">
        <v>39.8</v>
      </c>
      <c r="B56">
        <v>4</v>
      </c>
      <c r="C56">
        <v>0</v>
      </c>
      <c r="D56">
        <v>1.24310776942356</v>
      </c>
      <c r="E56">
        <v>1</v>
      </c>
      <c r="F56">
        <v>1.14459462263529</v>
      </c>
      <c r="G56">
        <v>49.6</v>
      </c>
      <c r="H56">
        <v>1</v>
      </c>
      <c r="I56">
        <v>0.322580645154787</v>
      </c>
      <c r="J56">
        <v>9.5</v>
      </c>
      <c r="K56">
        <v>5.1</v>
      </c>
      <c r="L56">
        <v>0.380805202498988</v>
      </c>
      <c r="M56">
        <v>1.82269758311993</v>
      </c>
      <c r="N56">
        <v>399</v>
      </c>
      <c r="O56" t="s">
        <v>288</v>
      </c>
      <c r="P56" t="s">
        <v>52</v>
      </c>
    </row>
    <row r="57" spans="1:16">
      <c r="A57">
        <v>44.6</v>
      </c>
      <c r="B57">
        <v>14</v>
      </c>
      <c r="C57">
        <v>0</v>
      </c>
      <c r="D57">
        <v>4.23713646532438</v>
      </c>
      <c r="E57">
        <v>0</v>
      </c>
      <c r="F57">
        <v>5.57115882163349</v>
      </c>
      <c r="G57">
        <v>189.4</v>
      </c>
      <c r="H57">
        <v>0</v>
      </c>
      <c r="I57">
        <v>0.370644139385583</v>
      </c>
      <c r="J57">
        <v>10.1</v>
      </c>
      <c r="K57">
        <v>14</v>
      </c>
      <c r="L57">
        <v>0.777263603196498</v>
      </c>
      <c r="M57">
        <v>1.80144853832612</v>
      </c>
      <c r="N57">
        <v>447</v>
      </c>
      <c r="O57" t="s">
        <v>292</v>
      </c>
      <c r="P57" t="s">
        <v>52</v>
      </c>
    </row>
    <row r="58" spans="1:16">
      <c r="A58">
        <v>64.2</v>
      </c>
      <c r="B58">
        <v>15</v>
      </c>
      <c r="C58">
        <v>0</v>
      </c>
      <c r="D58">
        <v>3.64852255054432</v>
      </c>
      <c r="E58">
        <v>2</v>
      </c>
      <c r="F58">
        <v>4.42566961623445</v>
      </c>
      <c r="G58">
        <v>234.6</v>
      </c>
      <c r="H58">
        <v>5</v>
      </c>
      <c r="I58">
        <v>0.515345268540003</v>
      </c>
      <c r="J58">
        <v>8.4</v>
      </c>
      <c r="K58">
        <v>13.9</v>
      </c>
      <c r="L58">
        <v>1.13842292855952</v>
      </c>
      <c r="M58">
        <v>3.09049140485174</v>
      </c>
      <c r="N58">
        <v>643</v>
      </c>
      <c r="O58" t="s">
        <v>295</v>
      </c>
      <c r="P58" t="s">
        <v>52</v>
      </c>
    </row>
    <row r="59" spans="1:16">
      <c r="A59">
        <v>66.3</v>
      </c>
      <c r="B59">
        <v>5</v>
      </c>
      <c r="C59">
        <v>0</v>
      </c>
      <c r="D59">
        <v>1.04518072289157</v>
      </c>
      <c r="E59">
        <v>0</v>
      </c>
      <c r="F59">
        <v>1.71614838417037</v>
      </c>
      <c r="G59">
        <v>69.4</v>
      </c>
      <c r="H59">
        <v>1</v>
      </c>
      <c r="I59">
        <v>0.413544668581938</v>
      </c>
      <c r="J59">
        <v>34.3</v>
      </c>
      <c r="K59">
        <v>12.9</v>
      </c>
      <c r="L59">
        <v>1.38846295026694</v>
      </c>
      <c r="M59">
        <v>3.36627970731474</v>
      </c>
      <c r="N59">
        <v>664</v>
      </c>
      <c r="O59" t="s">
        <v>298</v>
      </c>
      <c r="P59" t="s">
        <v>52</v>
      </c>
    </row>
    <row r="60" spans="1:16">
      <c r="A60">
        <v>45</v>
      </c>
      <c r="B60">
        <v>8</v>
      </c>
      <c r="C60">
        <v>0</v>
      </c>
      <c r="D60">
        <v>2.31263858093126</v>
      </c>
      <c r="E60">
        <v>1</v>
      </c>
      <c r="F60">
        <v>2.8043291770993</v>
      </c>
      <c r="G60">
        <v>104.3</v>
      </c>
      <c r="H60">
        <v>0</v>
      </c>
      <c r="I60">
        <v>0.501438159151472</v>
      </c>
      <c r="J60">
        <v>12.3</v>
      </c>
      <c r="K60">
        <v>12.8</v>
      </c>
      <c r="L60">
        <v>0.78077181652294</v>
      </c>
      <c r="M60">
        <v>2.00624518775658</v>
      </c>
      <c r="N60">
        <v>451</v>
      </c>
      <c r="O60" t="s">
        <v>301</v>
      </c>
      <c r="P60" t="s">
        <v>52</v>
      </c>
    </row>
    <row r="61" spans="1:16">
      <c r="A61">
        <v>56.6</v>
      </c>
      <c r="B61">
        <v>13</v>
      </c>
      <c r="C61">
        <v>0</v>
      </c>
      <c r="D61">
        <v>3.96296296296296</v>
      </c>
      <c r="E61">
        <v>2</v>
      </c>
      <c r="F61">
        <v>4.75889017821464</v>
      </c>
      <c r="G61">
        <v>224.7</v>
      </c>
      <c r="H61">
        <v>0</v>
      </c>
      <c r="I61">
        <v>0.519804183353272</v>
      </c>
      <c r="J61">
        <v>17.6</v>
      </c>
      <c r="K61">
        <v>16.2</v>
      </c>
      <c r="L61">
        <v>0.826841801566286</v>
      </c>
      <c r="M61">
        <v>2.08594598342279</v>
      </c>
      <c r="N61">
        <v>567</v>
      </c>
      <c r="O61" t="s">
        <v>304</v>
      </c>
      <c r="P61" t="s">
        <v>52</v>
      </c>
    </row>
    <row r="62" spans="1:16">
      <c r="A62">
        <v>40.9</v>
      </c>
      <c r="B62">
        <v>26</v>
      </c>
      <c r="C62">
        <v>0</v>
      </c>
      <c r="D62">
        <v>11.0048780487805</v>
      </c>
      <c r="E62">
        <v>9</v>
      </c>
      <c r="F62">
        <v>10.260898582295</v>
      </c>
      <c r="G62">
        <v>451.2</v>
      </c>
      <c r="H62">
        <v>0</v>
      </c>
      <c r="I62">
        <v>0.556294326239902</v>
      </c>
      <c r="J62">
        <v>9.8</v>
      </c>
      <c r="K62">
        <v>17.9</v>
      </c>
      <c r="L62">
        <v>0.215577780960033</v>
      </c>
      <c r="M62">
        <v>1.34777885960543</v>
      </c>
      <c r="N62">
        <v>410</v>
      </c>
      <c r="O62" t="s">
        <v>307</v>
      </c>
      <c r="P62" t="s">
        <v>52</v>
      </c>
    </row>
    <row r="63" spans="1:16">
      <c r="A63">
        <v>48.8</v>
      </c>
      <c r="B63">
        <v>8</v>
      </c>
      <c r="C63">
        <v>0</v>
      </c>
      <c r="D63">
        <v>3.09815950920245</v>
      </c>
      <c r="E63">
        <v>3</v>
      </c>
      <c r="F63">
        <v>2.92084381178887</v>
      </c>
      <c r="G63">
        <v>151.5</v>
      </c>
      <c r="H63">
        <v>1</v>
      </c>
      <c r="I63">
        <v>0.870627062700524</v>
      </c>
      <c r="J63">
        <v>14.4</v>
      </c>
      <c r="K63">
        <v>19.5</v>
      </c>
      <c r="L63">
        <v>0.252681110265614</v>
      </c>
      <c r="M63">
        <v>1.4729567265854</v>
      </c>
      <c r="N63">
        <v>489</v>
      </c>
      <c r="O63" t="s">
        <v>310</v>
      </c>
      <c r="P63" t="s">
        <v>52</v>
      </c>
    </row>
    <row r="64" spans="1:16">
      <c r="A64">
        <v>50.8</v>
      </c>
      <c r="B64">
        <v>9</v>
      </c>
      <c r="C64">
        <v>0</v>
      </c>
      <c r="D64">
        <v>1.87229862475442</v>
      </c>
      <c r="E64">
        <v>0</v>
      </c>
      <c r="F64">
        <v>2.86119138867295</v>
      </c>
      <c r="G64">
        <v>95.3</v>
      </c>
      <c r="H64">
        <v>1</v>
      </c>
      <c r="I64">
        <v>0.608604407128976</v>
      </c>
      <c r="J64">
        <v>15.4</v>
      </c>
      <c r="K64">
        <v>9.6</v>
      </c>
      <c r="L64">
        <v>1.42887808369036</v>
      </c>
      <c r="M64">
        <v>3.55936998519285</v>
      </c>
      <c r="N64">
        <v>509</v>
      </c>
      <c r="O64" t="s">
        <v>313</v>
      </c>
      <c r="P64" t="s">
        <v>52</v>
      </c>
    </row>
    <row r="65" spans="1:16">
      <c r="A65">
        <v>80.8</v>
      </c>
      <c r="B65">
        <v>10</v>
      </c>
      <c r="C65">
        <v>0</v>
      </c>
      <c r="D65">
        <v>4.08652657601978</v>
      </c>
      <c r="E65">
        <v>4</v>
      </c>
      <c r="F65">
        <v>3.39042462433035</v>
      </c>
      <c r="G65">
        <v>330.6</v>
      </c>
      <c r="H65">
        <v>2</v>
      </c>
      <c r="I65">
        <v>0.377495462793776</v>
      </c>
      <c r="J65">
        <v>23</v>
      </c>
      <c r="K65">
        <v>31.3</v>
      </c>
      <c r="L65">
        <v>0.171350838297139</v>
      </c>
      <c r="M65">
        <v>1.52116830998562</v>
      </c>
      <c r="N65">
        <v>809</v>
      </c>
      <c r="O65" t="s">
        <v>316</v>
      </c>
      <c r="P65" t="s">
        <v>52</v>
      </c>
    </row>
    <row r="66" spans="1:16">
      <c r="A66">
        <v>50.8</v>
      </c>
      <c r="B66">
        <v>13</v>
      </c>
      <c r="C66">
        <v>0</v>
      </c>
      <c r="D66">
        <v>3.90176817288802</v>
      </c>
      <c r="E66">
        <v>1</v>
      </c>
      <c r="F66">
        <v>4.44810151678564</v>
      </c>
      <c r="G66">
        <v>198.6</v>
      </c>
      <c r="H66">
        <v>0</v>
      </c>
      <c r="I66">
        <v>0.457703927490142</v>
      </c>
      <c r="J66">
        <v>17.2</v>
      </c>
      <c r="K66">
        <v>15.5</v>
      </c>
      <c r="L66">
        <v>0.7481697050112</v>
      </c>
      <c r="M66">
        <v>1.95539972556821</v>
      </c>
      <c r="N66">
        <v>509</v>
      </c>
      <c r="O66" t="s">
        <v>319</v>
      </c>
      <c r="P66" t="s">
        <v>52</v>
      </c>
    </row>
    <row r="67" spans="1:16">
      <c r="A67">
        <v>47.7</v>
      </c>
      <c r="B67">
        <v>13</v>
      </c>
      <c r="C67">
        <v>0</v>
      </c>
      <c r="D67">
        <v>4.90585774058577</v>
      </c>
      <c r="E67">
        <v>3</v>
      </c>
      <c r="F67">
        <v>4.78878047577132</v>
      </c>
      <c r="G67">
        <v>234.5</v>
      </c>
      <c r="H67">
        <v>1</v>
      </c>
      <c r="I67">
        <v>0.47420042643721</v>
      </c>
      <c r="J67">
        <v>14.2</v>
      </c>
      <c r="K67">
        <v>17.8</v>
      </c>
      <c r="L67">
        <v>0.364443721373186</v>
      </c>
      <c r="M67">
        <v>1.49088987791397</v>
      </c>
      <c r="N67">
        <v>478</v>
      </c>
      <c r="O67" t="s">
        <v>329</v>
      </c>
      <c r="P67" t="s">
        <v>326</v>
      </c>
    </row>
    <row r="68" spans="1:16">
      <c r="A68">
        <v>102.9</v>
      </c>
      <c r="B68">
        <v>11</v>
      </c>
      <c r="C68">
        <v>0</v>
      </c>
      <c r="D68">
        <v>1.50679611650485</v>
      </c>
      <c r="E68">
        <v>0</v>
      </c>
      <c r="F68">
        <v>2.90427994672098</v>
      </c>
      <c r="G68">
        <v>155.2</v>
      </c>
      <c r="H68">
        <v>2</v>
      </c>
      <c r="I68">
        <v>0.531572164945028</v>
      </c>
      <c r="J68">
        <v>25.8</v>
      </c>
      <c r="K68">
        <v>5.4</v>
      </c>
      <c r="L68">
        <v>1.68466961314974</v>
      </c>
      <c r="M68">
        <v>4.39147757656866</v>
      </c>
      <c r="N68">
        <v>1030</v>
      </c>
      <c r="O68" t="s">
        <v>334</v>
      </c>
      <c r="P68" t="s">
        <v>326</v>
      </c>
    </row>
    <row r="69" spans="1:16">
      <c r="A69">
        <v>37</v>
      </c>
      <c r="B69">
        <v>27</v>
      </c>
      <c r="C69">
        <v>0</v>
      </c>
      <c r="D69">
        <v>12.6792452830189</v>
      </c>
      <c r="E69">
        <v>12</v>
      </c>
      <c r="F69">
        <v>10.620076625758</v>
      </c>
      <c r="G69">
        <v>470.4</v>
      </c>
      <c r="H69">
        <v>0</v>
      </c>
      <c r="I69">
        <v>0.580144557821896</v>
      </c>
      <c r="J69">
        <v>10.1</v>
      </c>
      <c r="K69">
        <v>17.3</v>
      </c>
      <c r="L69">
        <v>0.0356660444533803</v>
      </c>
      <c r="M69">
        <v>1.34436051101502</v>
      </c>
      <c r="N69">
        <v>371</v>
      </c>
      <c r="O69" t="s">
        <v>337</v>
      </c>
      <c r="P69" t="s">
        <v>326</v>
      </c>
    </row>
    <row r="70" spans="1:16">
      <c r="A70">
        <v>49.9</v>
      </c>
      <c r="B70">
        <v>11</v>
      </c>
      <c r="C70">
        <v>0</v>
      </c>
      <c r="D70">
        <v>2.362</v>
      </c>
      <c r="E70">
        <v>1</v>
      </c>
      <c r="F70">
        <v>2.75429269623129</v>
      </c>
      <c r="G70">
        <v>118.1</v>
      </c>
      <c r="H70">
        <v>2</v>
      </c>
      <c r="I70">
        <v>0.431837425906589</v>
      </c>
      <c r="J70">
        <v>13.1</v>
      </c>
      <c r="K70">
        <v>3.7</v>
      </c>
      <c r="L70">
        <v>1.11236388386418</v>
      </c>
      <c r="M70">
        <v>3.37983923533356</v>
      </c>
      <c r="N70">
        <v>500</v>
      </c>
      <c r="O70" t="s">
        <v>341</v>
      </c>
      <c r="P70" t="s">
        <v>326</v>
      </c>
    </row>
    <row r="71" spans="1:16">
      <c r="A71">
        <v>106.2</v>
      </c>
      <c r="B71">
        <v>11</v>
      </c>
      <c r="C71">
        <v>0</v>
      </c>
      <c r="D71">
        <v>4.84854186265287</v>
      </c>
      <c r="E71">
        <v>4</v>
      </c>
      <c r="F71">
        <v>3.62126686012093</v>
      </c>
      <c r="G71">
        <v>515.4</v>
      </c>
      <c r="H71">
        <v>2</v>
      </c>
      <c r="I71">
        <v>0.749126891733122</v>
      </c>
      <c r="J71">
        <v>8.3</v>
      </c>
      <c r="K71">
        <v>41.1</v>
      </c>
      <c r="L71">
        <v>0.265484070523875</v>
      </c>
      <c r="M71">
        <v>1.75633258538199</v>
      </c>
      <c r="N71">
        <v>1063</v>
      </c>
      <c r="O71" t="s">
        <v>351</v>
      </c>
      <c r="P71" t="s">
        <v>326</v>
      </c>
    </row>
    <row r="72" spans="1:16">
      <c r="A72">
        <v>42.6</v>
      </c>
      <c r="B72">
        <v>21</v>
      </c>
      <c r="C72">
        <v>0</v>
      </c>
      <c r="D72">
        <v>9.61826697892272</v>
      </c>
      <c r="E72">
        <v>8</v>
      </c>
      <c r="F72">
        <v>6.98905541408402</v>
      </c>
      <c r="G72">
        <v>410.7</v>
      </c>
      <c r="H72">
        <v>0</v>
      </c>
      <c r="I72">
        <v>0.499147796443878</v>
      </c>
      <c r="J72">
        <v>10.3</v>
      </c>
      <c r="K72">
        <v>18.5</v>
      </c>
      <c r="L72">
        <v>0.138513613425581</v>
      </c>
      <c r="M72">
        <v>1.6914397190647</v>
      </c>
      <c r="N72">
        <v>427</v>
      </c>
      <c r="O72" t="s">
        <v>367</v>
      </c>
      <c r="P72" t="s">
        <v>326</v>
      </c>
    </row>
    <row r="73" spans="1:16">
      <c r="A73">
        <v>49.9</v>
      </c>
      <c r="B73">
        <v>33</v>
      </c>
      <c r="C73">
        <v>0</v>
      </c>
      <c r="D73">
        <v>13.966</v>
      </c>
      <c r="E73">
        <v>14</v>
      </c>
      <c r="F73">
        <v>10.6057440858824</v>
      </c>
      <c r="G73">
        <v>698.3</v>
      </c>
      <c r="H73">
        <v>6</v>
      </c>
      <c r="I73">
        <v>0.62322783903677</v>
      </c>
      <c r="J73">
        <v>14.8</v>
      </c>
      <c r="K73">
        <v>22.8</v>
      </c>
      <c r="L73">
        <v>-0.0240594714283842</v>
      </c>
      <c r="M73">
        <v>1.549420165091</v>
      </c>
      <c r="N73">
        <v>500</v>
      </c>
      <c r="O73" t="s">
        <v>372</v>
      </c>
      <c r="P73" t="s">
        <v>326</v>
      </c>
    </row>
    <row r="74" spans="1:16">
      <c r="A74">
        <v>56.4</v>
      </c>
      <c r="B74">
        <v>9</v>
      </c>
      <c r="C74">
        <v>0</v>
      </c>
      <c r="D74">
        <v>3.63008849557522</v>
      </c>
      <c r="E74">
        <v>3</v>
      </c>
      <c r="F74">
        <v>2.98093483824876</v>
      </c>
      <c r="G74">
        <v>205.1</v>
      </c>
      <c r="H74">
        <v>1</v>
      </c>
      <c r="I74">
        <v>0.71672354948456</v>
      </c>
      <c r="J74">
        <v>15.4</v>
      </c>
      <c r="K74">
        <v>18</v>
      </c>
      <c r="L74">
        <v>0.372982304738812</v>
      </c>
      <c r="M74">
        <v>1.80041630859332</v>
      </c>
      <c r="N74">
        <v>565</v>
      </c>
      <c r="O74" t="s">
        <v>383</v>
      </c>
      <c r="P74" t="s">
        <v>326</v>
      </c>
    </row>
    <row r="75" spans="1:16">
      <c r="A75">
        <v>42.8</v>
      </c>
      <c r="B75">
        <v>17</v>
      </c>
      <c r="C75">
        <v>0</v>
      </c>
      <c r="D75">
        <v>6</v>
      </c>
      <c r="E75">
        <v>2</v>
      </c>
      <c r="F75">
        <v>6.60677929934703</v>
      </c>
      <c r="G75">
        <v>257.4</v>
      </c>
      <c r="H75">
        <v>0</v>
      </c>
      <c r="I75">
        <v>0.520979020976997</v>
      </c>
      <c r="J75">
        <v>16.9</v>
      </c>
      <c r="K75">
        <v>14.6</v>
      </c>
      <c r="L75">
        <v>0.594384125447854</v>
      </c>
      <c r="M75">
        <v>1.6761277019748</v>
      </c>
      <c r="N75">
        <v>429</v>
      </c>
      <c r="O75" t="s">
        <v>389</v>
      </c>
      <c r="P75" t="s">
        <v>326</v>
      </c>
    </row>
    <row r="76" spans="1:16">
      <c r="A76">
        <v>77.5</v>
      </c>
      <c r="B76">
        <v>4</v>
      </c>
      <c r="C76">
        <v>0</v>
      </c>
      <c r="D76">
        <v>0.494845360824742</v>
      </c>
      <c r="E76">
        <v>0</v>
      </c>
      <c r="F76">
        <v>0.850031787977367</v>
      </c>
      <c r="G76">
        <v>38.4</v>
      </c>
      <c r="H76">
        <v>2</v>
      </c>
      <c r="I76">
        <v>0.911458333309598</v>
      </c>
      <c r="J76">
        <v>8.2</v>
      </c>
      <c r="K76">
        <v>2.7</v>
      </c>
      <c r="L76">
        <v>1.97744899008211</v>
      </c>
      <c r="M76">
        <v>6.88653157947827</v>
      </c>
      <c r="N76">
        <v>776</v>
      </c>
      <c r="O76" t="s">
        <v>395</v>
      </c>
      <c r="P76" t="s">
        <v>326</v>
      </c>
    </row>
    <row r="77" spans="1:16">
      <c r="A77">
        <v>31.8</v>
      </c>
      <c r="B77">
        <v>15</v>
      </c>
      <c r="C77">
        <v>0</v>
      </c>
      <c r="D77">
        <v>4.4294670846395</v>
      </c>
      <c r="E77">
        <v>0</v>
      </c>
      <c r="F77">
        <v>5.68683877472356</v>
      </c>
      <c r="G77">
        <v>141.3</v>
      </c>
      <c r="H77">
        <v>0</v>
      </c>
      <c r="I77">
        <v>0.673743807497001</v>
      </c>
      <c r="J77">
        <v>11</v>
      </c>
      <c r="K77">
        <v>9.9</v>
      </c>
      <c r="L77">
        <v>0.828316816229188</v>
      </c>
      <c r="M77">
        <v>2.02987420783032</v>
      </c>
      <c r="N77">
        <v>319</v>
      </c>
      <c r="O77" t="s">
        <v>405</v>
      </c>
      <c r="P77" t="s">
        <v>326</v>
      </c>
    </row>
    <row r="78" spans="1:16">
      <c r="A78">
        <v>42.2</v>
      </c>
      <c r="B78">
        <v>10</v>
      </c>
      <c r="C78">
        <v>0</v>
      </c>
      <c r="D78">
        <v>5.55082742316785</v>
      </c>
      <c r="E78">
        <v>7</v>
      </c>
      <c r="F78">
        <v>3.43202688734437</v>
      </c>
      <c r="G78">
        <v>234.8</v>
      </c>
      <c r="H78">
        <v>0</v>
      </c>
      <c r="I78">
        <v>0.413969335603007</v>
      </c>
      <c r="J78">
        <v>12.7</v>
      </c>
      <c r="K78">
        <v>27</v>
      </c>
      <c r="L78">
        <v>-0.578524067517197</v>
      </c>
      <c r="M78">
        <v>1.90375829384356</v>
      </c>
      <c r="N78">
        <v>423</v>
      </c>
      <c r="O78" t="s">
        <v>411</v>
      </c>
      <c r="P78" t="s">
        <v>326</v>
      </c>
    </row>
    <row r="79" spans="1:16">
      <c r="A79">
        <v>32.1</v>
      </c>
      <c r="B79">
        <v>25</v>
      </c>
      <c r="C79">
        <v>0</v>
      </c>
      <c r="D79">
        <v>9.31987577639751</v>
      </c>
      <c r="E79">
        <v>11.5</v>
      </c>
      <c r="F79">
        <v>8.58892512922811</v>
      </c>
      <c r="G79">
        <v>300.1</v>
      </c>
      <c r="H79">
        <v>0</v>
      </c>
      <c r="I79">
        <v>0.774408530487256</v>
      </c>
      <c r="J79">
        <v>6.9</v>
      </c>
      <c r="K79">
        <v>16</v>
      </c>
      <c r="L79">
        <v>0.0704408600882394</v>
      </c>
      <c r="M79">
        <v>1.28652635341056</v>
      </c>
      <c r="N79">
        <v>322</v>
      </c>
      <c r="O79" t="s">
        <v>416</v>
      </c>
      <c r="P79" t="s">
        <v>326</v>
      </c>
    </row>
    <row r="80" spans="1:16">
      <c r="A80">
        <v>25.3</v>
      </c>
      <c r="B80">
        <v>17</v>
      </c>
      <c r="C80">
        <v>0</v>
      </c>
      <c r="D80">
        <v>3.92125984251968</v>
      </c>
      <c r="E80">
        <v>0</v>
      </c>
      <c r="F80">
        <v>5.92389987346774</v>
      </c>
      <c r="G80">
        <v>99.6</v>
      </c>
      <c r="H80">
        <v>1</v>
      </c>
      <c r="I80">
        <v>0.511044176701696</v>
      </c>
      <c r="J80">
        <v>6.4</v>
      </c>
      <c r="K80">
        <v>6.6</v>
      </c>
      <c r="L80">
        <v>1.07471953964153</v>
      </c>
      <c r="M80">
        <v>2.3902204446923</v>
      </c>
      <c r="N80">
        <v>254</v>
      </c>
      <c r="O80" t="s">
        <v>420</v>
      </c>
      <c r="P80" t="s">
        <v>326</v>
      </c>
    </row>
    <row r="81" spans="1:16">
      <c r="A81">
        <v>45.4</v>
      </c>
      <c r="B81">
        <v>36</v>
      </c>
      <c r="C81">
        <v>0</v>
      </c>
      <c r="D81">
        <v>14.5142857142857</v>
      </c>
      <c r="E81">
        <v>7</v>
      </c>
      <c r="F81">
        <v>15.1751635385056</v>
      </c>
      <c r="G81">
        <v>660.4</v>
      </c>
      <c r="H81">
        <v>0</v>
      </c>
      <c r="I81">
        <v>0.237431859478744</v>
      </c>
      <c r="J81">
        <v>24.5</v>
      </c>
      <c r="K81">
        <v>18.9</v>
      </c>
      <c r="L81">
        <v>0.30766955087488</v>
      </c>
      <c r="M81">
        <v>1.28074282563863</v>
      </c>
      <c r="N81">
        <v>455</v>
      </c>
      <c r="O81" t="s">
        <v>423</v>
      </c>
      <c r="P81" t="s">
        <v>326</v>
      </c>
    </row>
    <row r="82" spans="1:16">
      <c r="A82">
        <v>73.5</v>
      </c>
      <c r="B82">
        <v>19</v>
      </c>
      <c r="C82">
        <v>0</v>
      </c>
      <c r="D82">
        <v>1.88722826086956</v>
      </c>
      <c r="E82">
        <v>0</v>
      </c>
      <c r="F82">
        <v>4.41636411937477</v>
      </c>
      <c r="G82">
        <v>138.9</v>
      </c>
      <c r="H82">
        <v>1</v>
      </c>
      <c r="I82">
        <v>-0.578833693300368</v>
      </c>
      <c r="J82">
        <v>36.8</v>
      </c>
      <c r="K82">
        <v>8.1</v>
      </c>
      <c r="L82">
        <v>2.19689549407302</v>
      </c>
      <c r="M82">
        <v>6.40220944387946</v>
      </c>
      <c r="N82">
        <v>736</v>
      </c>
      <c r="O82" t="s">
        <v>427</v>
      </c>
      <c r="P82" t="s">
        <v>326</v>
      </c>
    </row>
    <row r="83" spans="1:16">
      <c r="A83">
        <v>48.3</v>
      </c>
      <c r="B83">
        <v>11</v>
      </c>
      <c r="C83">
        <v>0</v>
      </c>
      <c r="D83">
        <v>3.1900826446281</v>
      </c>
      <c r="E83">
        <v>2</v>
      </c>
      <c r="F83">
        <v>3.23109644829214</v>
      </c>
      <c r="G83">
        <v>154.4</v>
      </c>
      <c r="H83">
        <v>1</v>
      </c>
      <c r="I83">
        <v>-0.347797927458887</v>
      </c>
      <c r="J83">
        <v>22.4</v>
      </c>
      <c r="K83">
        <v>5.1</v>
      </c>
      <c r="L83">
        <v>0.722363660056806</v>
      </c>
      <c r="M83">
        <v>2.27267339389369</v>
      </c>
      <c r="N83">
        <v>484</v>
      </c>
      <c r="O83" t="s">
        <v>431</v>
      </c>
      <c r="P83" t="s">
        <v>326</v>
      </c>
    </row>
    <row r="84" spans="1:16">
      <c r="A84">
        <v>34.4</v>
      </c>
      <c r="B84">
        <v>42</v>
      </c>
      <c r="C84">
        <v>0</v>
      </c>
      <c r="D84">
        <v>16.5594202898551</v>
      </c>
      <c r="E84">
        <v>14</v>
      </c>
      <c r="F84">
        <v>16.1717734178077</v>
      </c>
      <c r="G84">
        <v>571.3</v>
      </c>
      <c r="H84">
        <v>2</v>
      </c>
      <c r="I84">
        <v>0.00822685104146991</v>
      </c>
      <c r="J84">
        <v>14.6</v>
      </c>
      <c r="K84">
        <v>16.6</v>
      </c>
      <c r="L84">
        <v>0.168380021578594</v>
      </c>
      <c r="M84">
        <v>1.26586737505216</v>
      </c>
      <c r="N84">
        <v>345</v>
      </c>
      <c r="O84" t="s">
        <v>448</v>
      </c>
      <c r="P84" t="s">
        <v>326</v>
      </c>
    </row>
    <row r="85" spans="1:16">
      <c r="A85">
        <v>39.6</v>
      </c>
      <c r="B85">
        <v>29</v>
      </c>
      <c r="C85">
        <v>0</v>
      </c>
      <c r="D85">
        <v>6.00755667506297</v>
      </c>
      <c r="E85">
        <v>0</v>
      </c>
      <c r="F85">
        <v>9.46857872948744</v>
      </c>
      <c r="G85">
        <v>238.5</v>
      </c>
      <c r="H85">
        <v>0</v>
      </c>
      <c r="I85">
        <v>0.239832285114298</v>
      </c>
      <c r="J85">
        <v>23</v>
      </c>
      <c r="K85">
        <v>9.4</v>
      </c>
      <c r="L85">
        <v>1.21984647693782</v>
      </c>
      <c r="M85">
        <v>2.83169023511917</v>
      </c>
      <c r="N85">
        <v>397</v>
      </c>
      <c r="O85" t="s">
        <v>454</v>
      </c>
      <c r="P85" t="s">
        <v>326</v>
      </c>
    </row>
    <row r="86" spans="1:16">
      <c r="A86">
        <v>23.4</v>
      </c>
      <c r="B86">
        <v>25</v>
      </c>
      <c r="C86">
        <v>0</v>
      </c>
      <c r="D86">
        <v>11.2127659574468</v>
      </c>
      <c r="E86">
        <v>8</v>
      </c>
      <c r="F86">
        <v>10.6107028900567</v>
      </c>
      <c r="G86">
        <v>263.45</v>
      </c>
      <c r="H86">
        <v>0</v>
      </c>
      <c r="I86">
        <v>0.319415448850562</v>
      </c>
      <c r="J86">
        <v>9.9</v>
      </c>
      <c r="K86">
        <v>11.1</v>
      </c>
      <c r="L86">
        <v>0.150248929658483</v>
      </c>
      <c r="M86">
        <v>1.20583092679473</v>
      </c>
      <c r="N86">
        <v>235</v>
      </c>
      <c r="O86" t="s">
        <v>457</v>
      </c>
      <c r="P86" t="s">
        <v>326</v>
      </c>
    </row>
    <row r="87" spans="1:16">
      <c r="A87">
        <v>40.7</v>
      </c>
      <c r="B87">
        <v>17</v>
      </c>
      <c r="C87">
        <v>0</v>
      </c>
      <c r="D87">
        <v>5.97303921568627</v>
      </c>
      <c r="E87">
        <v>2</v>
      </c>
      <c r="F87">
        <v>6.50886815784796</v>
      </c>
      <c r="G87">
        <v>243.7</v>
      </c>
      <c r="H87">
        <v>0</v>
      </c>
      <c r="I87">
        <v>-0.0779647107095695</v>
      </c>
      <c r="J87">
        <v>19.8</v>
      </c>
      <c r="K87">
        <v>16.1</v>
      </c>
      <c r="L87">
        <v>0.417489907555752</v>
      </c>
      <c r="M87">
        <v>1.43719816117577</v>
      </c>
      <c r="N87">
        <v>408</v>
      </c>
      <c r="O87" t="s">
        <v>461</v>
      </c>
      <c r="P87" t="s">
        <v>326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8.83333333333333" defaultRowHeight="12.75" outlineLevelCol="6"/>
  <sheetData>
    <row r="1" spans="1:7">
      <c r="A1" s="1" t="s">
        <v>480</v>
      </c>
      <c r="B1" s="1" t="s">
        <v>481</v>
      </c>
      <c r="C1" s="1" t="s">
        <v>482</v>
      </c>
      <c r="D1" s="1" t="s">
        <v>483</v>
      </c>
      <c r="E1" s="1" t="s">
        <v>484</v>
      </c>
      <c r="F1" s="1" t="s">
        <v>485</v>
      </c>
      <c r="G1" s="1" t="s">
        <v>486</v>
      </c>
    </row>
    <row r="2" spans="1:7">
      <c r="A2" t="s">
        <v>465</v>
      </c>
      <c r="B2">
        <v>21</v>
      </c>
      <c r="C2">
        <v>65</v>
      </c>
      <c r="D2">
        <v>19.1904761904762</v>
      </c>
      <c r="E2">
        <v>27.4153846153846</v>
      </c>
      <c r="F2">
        <v>0.000994200115423463</v>
      </c>
      <c r="G2">
        <v>1010</v>
      </c>
    </row>
    <row r="3" spans="1:7">
      <c r="A3" t="s">
        <v>469</v>
      </c>
      <c r="B3">
        <v>21</v>
      </c>
      <c r="C3">
        <v>65</v>
      </c>
      <c r="D3">
        <v>6.75883238077516</v>
      </c>
      <c r="E3">
        <v>4.94073333345958</v>
      </c>
      <c r="F3">
        <v>0.0012966042478783</v>
      </c>
      <c r="G3">
        <v>1003</v>
      </c>
    </row>
    <row r="4" spans="1:7">
      <c r="A4" t="s">
        <v>467</v>
      </c>
      <c r="B4">
        <v>21</v>
      </c>
      <c r="C4">
        <v>65</v>
      </c>
      <c r="D4">
        <v>6.789402415364</v>
      </c>
      <c r="E4">
        <v>3.72404360261241</v>
      </c>
      <c r="F4">
        <v>0.00143968927393757</v>
      </c>
      <c r="G4">
        <v>1000</v>
      </c>
    </row>
    <row r="5" spans="1:7">
      <c r="A5" t="s">
        <v>464</v>
      </c>
      <c r="B5">
        <v>21</v>
      </c>
      <c r="C5">
        <v>65</v>
      </c>
      <c r="D5">
        <v>49.9809523809524</v>
      </c>
      <c r="E5">
        <v>70.7246153846154</v>
      </c>
      <c r="F5">
        <v>0.00588062716226327</v>
      </c>
      <c r="G5">
        <v>408</v>
      </c>
    </row>
    <row r="6" spans="1:7">
      <c r="A6" t="s">
        <v>477</v>
      </c>
      <c r="B6">
        <v>21</v>
      </c>
      <c r="C6">
        <v>65</v>
      </c>
      <c r="D6">
        <v>500.809523809524</v>
      </c>
      <c r="E6">
        <v>708.246153846154</v>
      </c>
      <c r="F6">
        <v>0.00588062716226327</v>
      </c>
      <c r="G6">
        <v>408</v>
      </c>
    </row>
    <row r="7" spans="1:7">
      <c r="A7" t="s">
        <v>470</v>
      </c>
      <c r="B7">
        <v>21</v>
      </c>
      <c r="C7">
        <v>65</v>
      </c>
      <c r="D7">
        <v>292.854761904762</v>
      </c>
      <c r="E7">
        <v>208.655384615385</v>
      </c>
      <c r="F7">
        <v>0.0322622497292976</v>
      </c>
      <c r="G7">
        <v>896</v>
      </c>
    </row>
    <row r="8" spans="1:7">
      <c r="A8" t="s">
        <v>468</v>
      </c>
      <c r="B8">
        <v>21</v>
      </c>
      <c r="C8">
        <v>65</v>
      </c>
      <c r="D8">
        <v>4.69047619047619</v>
      </c>
      <c r="E8">
        <v>2.26923076923077</v>
      </c>
      <c r="F8">
        <v>0.0537337581206506</v>
      </c>
      <c r="G8">
        <v>870</v>
      </c>
    </row>
    <row r="9" spans="1:7">
      <c r="A9" t="s">
        <v>476</v>
      </c>
      <c r="B9">
        <v>21</v>
      </c>
      <c r="C9">
        <v>65</v>
      </c>
      <c r="D9">
        <v>2.39397271055932</v>
      </c>
      <c r="E9">
        <v>5.4435040307235</v>
      </c>
      <c r="F9">
        <v>0.0629319171876446</v>
      </c>
      <c r="G9">
        <v>497</v>
      </c>
    </row>
    <row r="10" spans="1:7">
      <c r="A10" t="s">
        <v>475</v>
      </c>
      <c r="B10">
        <v>21</v>
      </c>
      <c r="C10">
        <v>65</v>
      </c>
      <c r="D10">
        <v>0.623797337371783</v>
      </c>
      <c r="E10">
        <v>1.05967822526247</v>
      </c>
      <c r="F10">
        <v>0.0951810446690003</v>
      </c>
      <c r="G10">
        <v>516</v>
      </c>
    </row>
    <row r="11" spans="1:7">
      <c r="A11" t="s">
        <v>473</v>
      </c>
      <c r="B11">
        <v>21</v>
      </c>
      <c r="C11">
        <v>65</v>
      </c>
      <c r="D11">
        <v>15.4809523809524</v>
      </c>
      <c r="E11">
        <v>24.0030769230769</v>
      </c>
      <c r="F11">
        <v>0.163821572332688</v>
      </c>
      <c r="G11">
        <v>543.5</v>
      </c>
    </row>
    <row r="12" spans="1:7">
      <c r="A12" t="s">
        <v>472</v>
      </c>
      <c r="B12">
        <v>21</v>
      </c>
      <c r="C12">
        <v>65</v>
      </c>
      <c r="D12">
        <v>0.391042569971469</v>
      </c>
      <c r="E12">
        <v>0.51295182016713</v>
      </c>
      <c r="F12">
        <v>0.177978361046185</v>
      </c>
      <c r="G12">
        <v>548</v>
      </c>
    </row>
    <row r="13" spans="1:7">
      <c r="A13" t="s">
        <v>471</v>
      </c>
      <c r="B13">
        <v>21</v>
      </c>
      <c r="C13">
        <v>65</v>
      </c>
      <c r="D13">
        <v>1</v>
      </c>
      <c r="E13">
        <v>1.43076923076923</v>
      </c>
      <c r="F13">
        <v>0.223518019968573</v>
      </c>
      <c r="G13">
        <v>566</v>
      </c>
    </row>
    <row r="14" spans="1:7">
      <c r="A14" t="s">
        <v>474</v>
      </c>
      <c r="B14">
        <v>21</v>
      </c>
      <c r="C14">
        <v>65</v>
      </c>
      <c r="D14">
        <v>14.6047619047619</v>
      </c>
      <c r="E14">
        <v>13.8</v>
      </c>
      <c r="F14">
        <v>0.370963522799151</v>
      </c>
      <c r="G14">
        <v>772</v>
      </c>
    </row>
    <row r="15" spans="1:7">
      <c r="A15" t="s">
        <v>466</v>
      </c>
      <c r="B15">
        <v>21</v>
      </c>
      <c r="C15">
        <v>65</v>
      </c>
      <c r="D15">
        <v>0</v>
      </c>
      <c r="E15">
        <v>0</v>
      </c>
      <c r="F15">
        <v>1</v>
      </c>
      <c r="G15">
        <v>682.5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metadata_preview</vt:lpstr>
      <vt:lpstr>features</vt:lpstr>
      <vt:lpstr>hypothesis_tests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wilfred</cp:lastModifiedBy>
  <dcterms:created xsi:type="dcterms:W3CDTF">2025-10-16T16:57:00Z</dcterms:created>
  <dcterms:modified xsi:type="dcterms:W3CDTF">2026-06-21T09:34:56Z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